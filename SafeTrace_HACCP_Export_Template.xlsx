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ortada" sheetId="1" state="visible" r:id="rId1"/>
    <sheet xmlns:r="http://schemas.openxmlformats.org/officeDocument/2006/relationships" name="01 · Equipo HACCP" sheetId="2" state="visible" r:id="rId2"/>
    <sheet xmlns:r="http://schemas.openxmlformats.org/officeDocument/2006/relationships" name="07 · Análisis de Peligros" sheetId="3" state="visible" r:id="rId3"/>
    <sheet xmlns:r="http://schemas.openxmlformats.org/officeDocument/2006/relationships" name="08-11 · CCPs" sheetId="4" state="visible" r:id="rId4"/>
    <sheet xmlns:r="http://schemas.openxmlformats.org/officeDocument/2006/relationships" name="13 · Registros" sheetId="5" state="visible" r:id="rId5"/>
    <sheet xmlns:r="http://schemas.openxmlformats.org/officeDocument/2006/relationships" name="14 · Resumen Ejecutivo" sheetId="6" state="visible" r:id="rId6"/>
    <sheet xmlns:r="http://schemas.openxmlformats.org/officeDocument/2006/relationships" name="15 · Bibliografía" sheetId="7" state="visible" r:id="rId7"/>
  </sheets>
  <definedNames>
    <definedName name="_xlnm._FilterDatabase" localSheetId="2" hidden="1">'07 · Análisis de Peligros'!$B$6:$Q$17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b val="1"/>
      <color rgb="0038BDF8"/>
      <sz val="20"/>
    </font>
    <font>
      <name val="Calibri"/>
      <i val="1"/>
      <color rgb="0094A3B8"/>
      <sz val="11"/>
    </font>
    <font>
      <name val="Calibri"/>
      <b val="1"/>
      <color rgb="0038BDF8"/>
      <sz val="10"/>
    </font>
    <font>
      <name val="Calibri"/>
      <color rgb="00CBD5E1"/>
      <sz val="10"/>
    </font>
    <font>
      <name val="Calibri"/>
      <color rgb="00F59E0B"/>
      <sz val="10"/>
    </font>
    <font>
      <name val="Calibri"/>
      <b val="1"/>
      <color rgb="000F2A4A"/>
      <sz val="11"/>
    </font>
    <font>
      <name val="Calibri"/>
      <b val="1"/>
      <color rgb="00334155"/>
      <sz val="9"/>
    </font>
    <font>
      <name val="Calibri"/>
      <color rgb="00334155"/>
      <sz val="9"/>
    </font>
    <font>
      <name val="Calibri"/>
      <b val="1"/>
      <color rgb="00FFFFFF"/>
      <sz val="11"/>
    </font>
    <font>
      <name val="Calibri"/>
      <b val="1"/>
      <color rgb="000E6BA8"/>
      <sz val="9"/>
    </font>
    <font>
      <name val="Calibri"/>
      <i val="1"/>
      <color rgb="006B7280"/>
      <sz val="8"/>
    </font>
    <font>
      <name val="Calibri"/>
      <i val="1"/>
      <color rgb="00D97706"/>
      <sz val="8"/>
    </font>
    <font>
      <name val="Calibri"/>
      <b val="1"/>
      <color rgb="0038BDF8"/>
      <sz val="16"/>
    </font>
    <font>
      <name val="Calibri"/>
      <b val="1"/>
      <color rgb="00FFFFFF"/>
      <sz val="9"/>
    </font>
    <font>
      <name val="Calibri"/>
      <b val="1"/>
      <color rgb="00D97706"/>
      <sz val="8"/>
    </font>
    <font>
      <name val="Calibri"/>
      <b val="1"/>
      <color rgb="00FFFFFF"/>
      <sz val="10"/>
    </font>
    <font>
      <name val="Calibri"/>
      <i val="1"/>
      <color rgb="00D97706"/>
      <sz val="9"/>
    </font>
    <font>
      <name val="Calibri"/>
      <b val="1"/>
      <color rgb="0038BDF8"/>
      <sz val="15"/>
    </font>
    <font>
      <name val="Calibri"/>
      <i val="1"/>
      <color rgb="0094A3B8"/>
      <sz val="8"/>
    </font>
    <font>
      <name val="Calibri"/>
      <b val="1"/>
      <color rgb="00DC2626"/>
      <sz val="8"/>
    </font>
    <font>
      <name val="Calibri"/>
      <b val="1"/>
      <color rgb="001D4ED8"/>
      <sz val="8"/>
    </font>
    <font>
      <name val="Calibri"/>
      <b val="1"/>
      <color rgb="007C3AED"/>
      <sz val="8"/>
    </font>
    <font>
      <name val="Calibri"/>
      <b val="1"/>
      <color rgb="0015803D"/>
      <sz val="8"/>
    </font>
    <font>
      <name val="Calibri"/>
      <b val="1"/>
      <color rgb="006B7280"/>
      <sz val="8"/>
    </font>
    <font>
      <name val="Calibri"/>
      <b val="1"/>
      <color rgb="00FFFFFF"/>
      <sz val="8"/>
    </font>
    <font>
      <name val="Calibri"/>
      <b val="1"/>
      <color rgb="000E6BA8"/>
      <sz val="8"/>
    </font>
    <font>
      <name val="Calibri"/>
      <color rgb="00334155"/>
      <sz val="8"/>
    </font>
    <font>
      <name val="Calibri"/>
      <b val="1"/>
      <color rgb="00FEE2E2"/>
      <sz val="8"/>
    </font>
    <font>
      <name val="Calibri"/>
      <b val="1"/>
      <color rgb="00DC2626"/>
      <sz val="9"/>
    </font>
    <font>
      <name val="Calibri"/>
      <b val="1"/>
      <color rgb="00FEF9C3"/>
      <sz val="8"/>
    </font>
    <font>
      <name val="Calibri"/>
      <b val="1"/>
      <color rgb="00F5F3FF"/>
      <sz val="8"/>
    </font>
    <font>
      <name val="Calibri"/>
      <b val="1"/>
      <color rgb="00EFF6FF"/>
      <sz val="8"/>
    </font>
    <font>
      <name val="Calibri"/>
      <b val="1"/>
      <color rgb="00DC2626"/>
      <sz val="10"/>
    </font>
    <font>
      <name val="Calibri"/>
      <b val="1"/>
      <color rgb="000F2A4A"/>
      <sz val="9"/>
    </font>
    <font>
      <name val="Calibri"/>
      <b val="1"/>
      <color rgb="0038BDF8"/>
      <sz val="14"/>
    </font>
    <font>
      <name val="Calibri"/>
      <i val="1"/>
      <color rgb="0094A3B8"/>
      <sz val="9"/>
    </font>
    <font>
      <name val="Calibri"/>
      <b val="1"/>
      <color rgb="00334155"/>
      <sz val="10"/>
    </font>
    <font>
      <name val="Calibri"/>
      <b val="1"/>
      <color rgb="000E6BA8"/>
      <sz val="10"/>
    </font>
    <font>
      <name val="Calibri"/>
      <b val="1"/>
      <color rgb="000F2A4A"/>
      <sz val="8"/>
    </font>
    <font>
      <name val="Calibri"/>
      <i val="1"/>
      <color rgb="000D9488"/>
      <sz val="8"/>
    </font>
    <font>
      <name val="Calibri"/>
      <color rgb="000E6BA8"/>
      <sz val="7"/>
    </font>
  </fonts>
  <fills count="20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38BDF8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E6BA8"/>
      </patternFill>
    </fill>
    <fill>
      <patternFill patternType="solid">
        <fgColor rgb="00F1F5F9"/>
      </patternFill>
    </fill>
    <fill>
      <patternFill patternType="solid">
        <fgColor rgb="00FEF9C3"/>
      </patternFill>
    </fill>
    <fill>
      <patternFill patternType="solid">
        <fgColor rgb="00D97706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F5F3FF"/>
      </patternFill>
    </fill>
    <fill>
      <patternFill patternType="solid">
        <fgColor rgb="00D1FAE5"/>
      </patternFill>
    </fill>
    <fill>
      <patternFill patternType="solid">
        <fgColor rgb="00FAFAFA"/>
      </patternFill>
    </fill>
    <fill>
      <patternFill patternType="solid">
        <fgColor rgb="000D9488"/>
      </patternFill>
    </fill>
    <fill>
      <patternFill patternType="solid">
        <fgColor rgb="00FFF8F8"/>
      </patternFill>
    </fill>
    <fill>
      <patternFill patternType="solid">
        <fgColor rgb="00F0FDF4"/>
      </patternFill>
    </fill>
    <fill>
      <patternFill patternType="solid">
        <fgColor rgb="00FDF4FF"/>
      </patternFill>
    </fill>
  </fills>
  <borders count="18">
    <border>
      <left/>
      <right/>
      <top/>
      <bottom/>
      <diagonal/>
    </border>
    <border>
      <left style="thin">
        <color rgb="000E6BA8"/>
      </left>
      <right style="thin">
        <color rgb="000E6BA8"/>
      </right>
      <top style="thin">
        <color rgb="000E6BA8"/>
      </top>
      <bottom style="thin">
        <color rgb="000E6BA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medium">
        <color rgb="0038BDF8"/>
      </left>
      <right style="medium">
        <color rgb="0038BDF8"/>
      </right>
      <top style="medium">
        <color rgb="0038BDF8"/>
      </top>
      <bottom style="medium">
        <color rgb="0038BDF8"/>
      </bottom>
    </border>
    <border>
      <left/>
      <right/>
      <top style="medium">
        <color rgb="0038BDF8"/>
      </top>
      <bottom/>
      <diagonal/>
    </border>
    <border>
      <left/>
      <right style="medium">
        <color rgb="0038BDF8"/>
      </right>
      <top style="medium">
        <color rgb="0038BDF8"/>
      </top>
      <bottom/>
      <diagonal/>
    </border>
    <border>
      <left/>
      <right/>
      <top style="medium">
        <color rgb="0038BDF8"/>
      </top>
      <bottom style="medium">
        <color rgb="0038BDF8"/>
      </bottom>
      <diagonal/>
    </border>
    <border>
      <left/>
      <right style="medium">
        <color rgb="0038BDF8"/>
      </right>
      <top style="medium">
        <color rgb="0038BDF8"/>
      </top>
      <bottom style="medium">
        <color rgb="0038BDF8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0" fillId="3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7" borderId="0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12" fillId="9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13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16" fillId="10" borderId="0" applyAlignment="1" pivotButton="0" quotePrefix="0" xfId="0">
      <alignment horizontal="left" vertical="center" wrapText="1"/>
    </xf>
    <xf numFmtId="0" fontId="17" fillId="9" borderId="12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 wrapText="1"/>
    </xf>
    <xf numFmtId="0" fontId="20" fillId="11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2" applyAlignment="1" pivotButton="0" quotePrefix="0" xfId="0">
      <alignment horizontal="center" vertical="center" wrapText="1"/>
    </xf>
    <xf numFmtId="0" fontId="23" fillId="14" borderId="2" applyAlignment="1" pivotButton="0" quotePrefix="0" xfId="0">
      <alignment horizontal="center" vertical="center" wrapText="1"/>
    </xf>
    <xf numFmtId="0" fontId="24" fillId="8" borderId="2" applyAlignment="1" pivotButton="0" quotePrefix="0" xfId="0">
      <alignment horizontal="center" vertical="center" wrapText="1"/>
    </xf>
    <xf numFmtId="0" fontId="25" fillId="2" borderId="13" applyAlignment="1" pivotButton="0" quotePrefix="0" xfId="0">
      <alignment horizontal="center" vertical="center" wrapText="1"/>
    </xf>
    <xf numFmtId="0" fontId="26" fillId="15" borderId="2" applyAlignment="1" pivotButton="0" quotePrefix="0" xfId="0">
      <alignment horizontal="center" vertical="center" wrapText="1"/>
    </xf>
    <xf numFmtId="0" fontId="27" fillId="11" borderId="2" applyAlignment="1" pivotButton="0" quotePrefix="0" xfId="0">
      <alignment horizontal="left" vertical="center" wrapText="1"/>
    </xf>
    <xf numFmtId="0" fontId="27" fillId="15" borderId="2" applyAlignment="1" pivotButton="0" quotePrefix="0" xfId="0">
      <alignment horizontal="center" vertical="center" wrapText="1"/>
    </xf>
    <xf numFmtId="0" fontId="28" fillId="11" borderId="2" applyAlignment="1" pivotButton="0" quotePrefix="0" xfId="0">
      <alignment horizontal="center" vertical="center" wrapText="1"/>
    </xf>
    <xf numFmtId="0" fontId="27" fillId="15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left" vertical="center" wrapText="1"/>
    </xf>
    <xf numFmtId="0" fontId="29" fillId="14" borderId="2" applyAlignment="1" pivotButton="0" quotePrefix="0" xfId="0">
      <alignment horizontal="center" vertical="center" wrapText="1"/>
    </xf>
    <xf numFmtId="0" fontId="26" fillId="6" borderId="2" applyAlignment="1" pivotButton="0" quotePrefix="0" xfId="0">
      <alignment horizontal="center" vertical="center" wrapText="1"/>
    </xf>
    <xf numFmtId="0" fontId="27" fillId="9" borderId="2" applyAlignment="1" pivotButton="0" quotePrefix="0" xfId="0">
      <alignment horizontal="left" vertical="center" wrapText="1"/>
    </xf>
    <xf numFmtId="0" fontId="27" fillId="6" borderId="2" applyAlignment="1" pivotButton="0" quotePrefix="0" xfId="0">
      <alignment horizontal="center" vertical="center" wrapText="1"/>
    </xf>
    <xf numFmtId="0" fontId="30" fillId="9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left" vertical="center" wrapText="1"/>
    </xf>
    <xf numFmtId="0" fontId="27" fillId="13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 wrapText="1"/>
    </xf>
    <xf numFmtId="0" fontId="27" fillId="12" borderId="2" applyAlignment="1" pivotButton="0" quotePrefix="0" xfId="0">
      <alignment horizontal="left" vertical="center" wrapText="1"/>
    </xf>
    <xf numFmtId="0" fontId="32" fillId="12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left" vertical="center" wrapText="1"/>
    </xf>
    <xf numFmtId="0" fontId="29" fillId="11" borderId="2" applyAlignment="1" pivotButton="0" quotePrefix="0" xfId="0">
      <alignment horizontal="center" vertical="center" wrapText="1"/>
    </xf>
    <xf numFmtId="0" fontId="24" fillId="8" borderId="2" applyAlignment="1" pivotButton="0" quotePrefix="0" xfId="0">
      <alignment horizontal="left" vertical="center" wrapText="1"/>
    </xf>
    <xf numFmtId="0" fontId="25" fillId="16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33" fillId="11" borderId="2" applyAlignment="1" pivotButton="0" quotePrefix="0" xfId="0">
      <alignment horizontal="center" vertical="center" wrapText="1"/>
    </xf>
    <xf numFmtId="0" fontId="27" fillId="17" borderId="2" applyAlignment="1" pivotButton="0" quotePrefix="0" xfId="0">
      <alignment horizontal="left" vertical="center" wrapText="1"/>
    </xf>
    <xf numFmtId="0" fontId="34" fillId="17" borderId="2" applyAlignment="1" pivotButton="0" quotePrefix="0" xfId="0">
      <alignment horizontal="left" vertical="center" wrapText="1"/>
    </xf>
    <xf numFmtId="0" fontId="26" fillId="17" borderId="2" applyAlignment="1" pivotButton="0" quotePrefix="0" xfId="0">
      <alignment horizontal="left" vertical="center" wrapText="1"/>
    </xf>
    <xf numFmtId="0" fontId="34" fillId="6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35" fillId="2" borderId="0" applyAlignment="1" pivotButton="0" quotePrefix="0" xfId="0">
      <alignment horizontal="left" vertical="center"/>
    </xf>
    <xf numFmtId="0" fontId="19" fillId="2" borderId="0" pivotButton="0" quotePrefix="0" xfId="0"/>
    <xf numFmtId="0" fontId="10" fillId="8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29" fillId="6" borderId="2" applyAlignment="1" pivotButton="0" quotePrefix="0" xfId="0">
      <alignment horizontal="left" vertical="center" wrapText="1"/>
    </xf>
    <xf numFmtId="0" fontId="29" fillId="8" borderId="2" applyAlignment="1" pivotButton="0" quotePrefix="0" xfId="0">
      <alignment horizontal="left" vertical="center" wrapText="1"/>
    </xf>
    <xf numFmtId="0" fontId="36" fillId="2" borderId="0" pivotButton="0" quotePrefix="0" xfId="0"/>
    <xf numFmtId="0" fontId="16" fillId="2" borderId="2" pivotButton="0" quotePrefix="0" xfId="0"/>
    <xf numFmtId="0" fontId="37" fillId="8" borderId="2" pivotButton="0" quotePrefix="0" xfId="0"/>
    <xf numFmtId="0" fontId="38" fillId="8" borderId="2" pivotButton="0" quotePrefix="0" xfId="0"/>
    <xf numFmtId="0" fontId="37" fillId="6" borderId="2" pivotButton="0" quotePrefix="0" xfId="0"/>
    <xf numFmtId="0" fontId="38" fillId="6" borderId="2" pivotButton="0" quotePrefix="0" xfId="0"/>
    <xf numFmtId="0" fontId="16" fillId="16" borderId="2" pivotButton="0" quotePrefix="0" xfId="0"/>
    <xf numFmtId="0" fontId="8" fillId="14" borderId="2" pivotButton="0" quotePrefix="0" xfId="0"/>
    <xf numFmtId="0" fontId="8" fillId="18" borderId="2" pivotButton="0" quotePrefix="0" xfId="0"/>
    <xf numFmtId="0" fontId="10" fillId="12" borderId="2" applyAlignment="1" pivotButton="0" quotePrefix="0" xfId="0">
      <alignment horizontal="center" vertical="center" wrapText="1"/>
    </xf>
    <xf numFmtId="0" fontId="39" fillId="12" borderId="2" applyAlignment="1" pivotButton="0" quotePrefix="0" xfId="0">
      <alignment horizontal="center" vertical="center" wrapText="1"/>
    </xf>
    <xf numFmtId="0" fontId="40" fillId="12" borderId="2" applyAlignment="1" pivotButton="0" quotePrefix="0" xfId="0">
      <alignment horizontal="left" vertical="center" wrapText="1"/>
    </xf>
    <xf numFmtId="0" fontId="41" fillId="12" borderId="2" applyAlignment="1" pivotButton="0" quotePrefix="0" xfId="0">
      <alignment horizontal="left" vertical="center" wrapText="1"/>
    </xf>
    <xf numFmtId="0" fontId="10" fillId="18" borderId="2" applyAlignment="1" pivotButton="0" quotePrefix="0" xfId="0">
      <alignment horizontal="center" vertical="center" wrapText="1"/>
    </xf>
    <xf numFmtId="0" fontId="39" fillId="18" borderId="2" applyAlignment="1" pivotButton="0" quotePrefix="0" xfId="0">
      <alignment horizontal="center" vertical="center" wrapText="1"/>
    </xf>
    <xf numFmtId="0" fontId="27" fillId="18" borderId="2" applyAlignment="1" pivotButton="0" quotePrefix="0" xfId="0">
      <alignment horizontal="left" vertical="center" wrapText="1"/>
    </xf>
    <xf numFmtId="0" fontId="40" fillId="18" borderId="2" applyAlignment="1" pivotButton="0" quotePrefix="0" xfId="0">
      <alignment horizontal="left" vertical="center" wrapText="1"/>
    </xf>
    <xf numFmtId="0" fontId="41" fillId="18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 wrapText="1"/>
    </xf>
    <xf numFmtId="0" fontId="39" fillId="9" borderId="2" applyAlignment="1" pivotButton="0" quotePrefix="0" xfId="0">
      <alignment horizontal="center" vertical="center" wrapText="1"/>
    </xf>
    <xf numFmtId="0" fontId="40" fillId="9" borderId="2" applyAlignment="1" pivotButton="0" quotePrefix="0" xfId="0">
      <alignment horizontal="left" vertical="center" wrapText="1"/>
    </xf>
    <xf numFmtId="0" fontId="41" fillId="9" borderId="2" applyAlignment="1" pivotButton="0" quotePrefix="0" xfId="0">
      <alignment horizontal="left" vertical="center" wrapText="1"/>
    </xf>
    <xf numFmtId="0" fontId="10" fillId="19" borderId="2" applyAlignment="1" pivotButton="0" quotePrefix="0" xfId="0">
      <alignment horizontal="center" vertical="center" wrapText="1"/>
    </xf>
    <xf numFmtId="0" fontId="39" fillId="19" borderId="2" applyAlignment="1" pivotButton="0" quotePrefix="0" xfId="0">
      <alignment horizontal="center" vertical="center" wrapText="1"/>
    </xf>
    <xf numFmtId="0" fontId="27" fillId="19" borderId="2" applyAlignment="1" pivotButton="0" quotePrefix="0" xfId="0">
      <alignment horizontal="left" vertical="center" wrapText="1"/>
    </xf>
    <xf numFmtId="0" fontId="40" fillId="19" borderId="2" applyAlignment="1" pivotButton="0" quotePrefix="0" xfId="0">
      <alignment horizontal="left" vertical="center" wrapText="1"/>
    </xf>
    <xf numFmtId="0" fontId="41" fillId="19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A4A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0" customWidth="1" min="3" max="3"/>
    <col width="22" customWidth="1" min="4" max="4"/>
    <col width="18" customWidth="1" min="5" max="5"/>
    <col width="4" customWidth="1" min="6" max="6"/>
  </cols>
  <sheetData>
    <row r="1" ht="10" customHeight="1">
      <c r="A1" s="1" t="n"/>
      <c r="B1" s="1" t="n"/>
      <c r="C1" s="1" t="n"/>
      <c r="D1" s="1" t="n"/>
      <c r="E1" s="1" t="n"/>
      <c r="F1" s="1" t="n"/>
    </row>
    <row r="2" ht="45" customHeight="1">
      <c r="A2" s="1" t="n"/>
      <c r="B2" s="2" t="inlineStr">
        <is>
          <t>PLAN HACCP — ANÁLISIS DE PELIGROS Y PUNTOS CRÍTICOS DE CONTROL</t>
        </is>
      </c>
      <c r="F2" s="1" t="n"/>
    </row>
    <row r="3" ht="28" customHeight="1">
      <c r="A3" s="1" t="n"/>
      <c r="B3" s="3" t="inlineStr">
        <is>
          <t>Generado por SafeTrace · safetrace.app · Food Safety Intelligence</t>
        </is>
      </c>
      <c r="F3" s="1" t="n"/>
    </row>
    <row r="4" ht="20" customHeight="1">
      <c r="A4" s="1" t="n"/>
      <c r="B4" s="4" t="inlineStr">
        <is>
          <t>▸  NORMA:</t>
        </is>
      </c>
      <c r="C4" s="5" t="inlineStr">
        <is>
          <t>FSSC 22000 v6 / BRCGS Issue 9 / SQF Ed.9 / IFS Food v8 / ISO 22000:2018</t>
        </is>
      </c>
      <c r="D4" s="1" t="n"/>
      <c r="E4" s="1" t="n"/>
      <c r="F4" s="1" t="n"/>
    </row>
    <row r="5" ht="20" customHeight="1">
      <c r="A5" s="1" t="n"/>
      <c r="B5" s="4" t="inlineStr">
        <is>
          <t>▸  ESTADO:</t>
        </is>
      </c>
      <c r="C5" s="6" t="inlineStr">
        <is>
          <t>BORRADOR — Requiere verificación in situ antes de implementación</t>
        </is>
      </c>
      <c r="D5" s="1" t="n"/>
      <c r="E5" s="1" t="n"/>
      <c r="F5" s="1" t="n"/>
    </row>
    <row r="6" ht="22" customHeight="1">
      <c r="A6" s="1" t="n"/>
      <c r="B6" s="4" t="inlineStr">
        <is>
          <t>▸  FECHA:</t>
        </is>
      </c>
      <c r="C6" s="5" t="inlineStr">
        <is>
          <t>29/03/2026</t>
        </is>
      </c>
      <c r="D6" s="1" t="n"/>
      <c r="E6" s="1" t="n"/>
      <c r="F6" s="1" t="n"/>
    </row>
    <row r="7" ht="14" customHeight="1">
      <c r="A7" s="1" t="n"/>
      <c r="B7" s="1" t="n"/>
      <c r="C7" s="1" t="n"/>
      <c r="D7" s="1" t="n"/>
      <c r="E7" s="1" t="n"/>
      <c r="F7" s="1" t="n"/>
    </row>
    <row r="8" ht="3" customHeight="1">
      <c r="A8" s="7" t="n"/>
      <c r="B8" s="7" t="n"/>
      <c r="C8" s="7" t="n"/>
      <c r="D8" s="7" t="n"/>
      <c r="E8" s="7" t="n"/>
      <c r="F8" s="7" t="n"/>
    </row>
    <row r="9" ht="8" customHeight="1"/>
    <row r="10" ht="22" customHeight="1">
      <c r="B10" s="8" t="inlineStr">
        <is>
          <t>INFORMACIÓN DEL PRODUCTO</t>
        </is>
      </c>
      <c r="C10" s="9" t="n"/>
      <c r="D10" s="9" t="n"/>
      <c r="E10" s="9" t="n"/>
    </row>
    <row r="11" ht="18" customHeight="1">
      <c r="B11" s="10" t="inlineStr">
        <is>
          <t>Nombre del producto</t>
        </is>
      </c>
      <c r="C11" s="11" t="inlineStr">
        <is>
          <t>[Ingresado por el cliente]</t>
        </is>
      </c>
      <c r="D11" s="12" t="n"/>
      <c r="E11" s="13" t="n"/>
    </row>
    <row r="12" ht="18" customHeight="1">
      <c r="B12" s="10" t="inlineStr">
        <is>
          <t>Categoría de alimento</t>
        </is>
      </c>
      <c r="C12" s="11" t="inlineStr">
        <is>
          <t>[Categoría]</t>
        </is>
      </c>
      <c r="D12" s="12" t="n"/>
      <c r="E12" s="13" t="n"/>
    </row>
    <row r="13" ht="18" customHeight="1">
      <c r="B13" s="10" t="inlineStr">
        <is>
          <t>Proceso principal</t>
        </is>
      </c>
      <c r="C13" s="11" t="inlineStr">
        <is>
          <t>[Proceso]</t>
        </is>
      </c>
      <c r="D13" s="12" t="n"/>
      <c r="E13" s="13" t="n"/>
    </row>
    <row r="14" ht="18" customHeight="1">
      <c r="B14" s="10" t="inlineStr">
        <is>
          <t>Norma de certificación</t>
        </is>
      </c>
      <c r="C14" s="11" t="inlineStr">
        <is>
          <t>[Norma seleccionada]</t>
        </is>
      </c>
      <c r="D14" s="12" t="n"/>
      <c r="E14" s="13" t="n"/>
    </row>
    <row r="15" ht="18" customHeight="1">
      <c r="B15" s="10" t="inlineStr">
        <is>
          <t>Vida útil</t>
        </is>
      </c>
      <c r="C15" s="11" t="inlineStr">
        <is>
          <t>[Shelf life]</t>
        </is>
      </c>
      <c r="D15" s="12" t="n"/>
      <c r="E15" s="13" t="n"/>
    </row>
    <row r="16" ht="18" customHeight="1">
      <c r="B16" s="10" t="inlineStr">
        <is>
          <t>Tipo de envase</t>
        </is>
      </c>
      <c r="C16" s="11" t="inlineStr">
        <is>
          <t>[Envase]</t>
        </is>
      </c>
      <c r="D16" s="12" t="n"/>
      <c r="E16" s="13" t="n"/>
    </row>
    <row r="17" ht="18" customHeight="1">
      <c r="B17" s="10" t="inlineStr">
        <is>
          <t>Consumidor final</t>
        </is>
      </c>
      <c r="C17" s="11" t="inlineStr">
        <is>
          <t>[Consumidor]</t>
        </is>
      </c>
      <c r="D17" s="12" t="n"/>
      <c r="E17" s="13" t="n"/>
    </row>
    <row r="18" ht="18" customHeight="1">
      <c r="B18" s="10" t="inlineStr">
        <is>
          <t>Alérgenos declarados</t>
        </is>
      </c>
      <c r="C18" s="11" t="inlineStr">
        <is>
          <t>[Alérgenos Big 9 FDA / Big 14 UE]</t>
        </is>
      </c>
      <c r="D18" s="12" t="n"/>
      <c r="E18" s="13" t="n"/>
    </row>
    <row r="19" ht="18" customHeight="1">
      <c r="B19" s="10" t="inlineStr">
        <is>
          <t>Fecha de generación</t>
        </is>
      </c>
      <c r="C19" s="11" t="inlineStr">
        <is>
          <t>29/03/2026</t>
        </is>
      </c>
      <c r="D19" s="12" t="n"/>
      <c r="E19" s="13" t="n"/>
    </row>
    <row r="20" ht="18" customHeight="1">
      <c r="B20" s="10" t="inlineStr">
        <is>
          <t>Elaborado por (IA)</t>
        </is>
      </c>
      <c r="C20" s="11" t="inlineStr">
        <is>
          <t>SafeTrace Motor IA — safetrace.app</t>
        </is>
      </c>
      <c r="D20" s="12" t="n"/>
      <c r="E20" s="13" t="n"/>
    </row>
    <row r="21" ht="18" customHeight="1">
      <c r="B21" s="10" t="inlineStr">
        <is>
          <t>Verificado por</t>
        </is>
      </c>
      <c r="C21" s="11" t="inlineStr">
        <is>
          <t>[Nombre del Responsable de Calidad]</t>
        </is>
      </c>
      <c r="D21" s="12" t="n"/>
      <c r="E21" s="13" t="n"/>
    </row>
    <row r="22" ht="18" customHeight="1">
      <c r="B22" s="10" t="inlineStr">
        <is>
          <t>Versión del plan</t>
        </is>
      </c>
      <c r="C22" s="11" t="inlineStr">
        <is>
          <t>1.0</t>
        </is>
      </c>
      <c r="D22" s="12" t="n"/>
      <c r="E22" s="13" t="n"/>
    </row>
    <row r="24" ht="14" customHeight="1"/>
    <row r="25" ht="22" customHeight="1">
      <c r="B25" s="14" t="inlineStr">
        <is>
          <t>ÍNDICE DEL PLAN HACCP — 12 PASOS CODEX ALIMENTARIUS CAC/RCP 1-1969</t>
        </is>
      </c>
    </row>
    <row r="26" ht="17" customHeight="1">
      <c r="B26" s="15" t="inlineStr">
        <is>
          <t>01</t>
        </is>
      </c>
      <c r="C26" s="16" t="inlineStr">
        <is>
          <t>Equipo HACCP</t>
        </is>
      </c>
      <c r="D26" s="17" t="inlineStr">
        <is>
          <t>Paso 1 — BRCGS Clause 2.2.3 / Codex Paso 1</t>
        </is>
      </c>
      <c r="E26" s="13" t="n"/>
    </row>
    <row r="27" ht="17" customHeight="1">
      <c r="B27" s="18" t="inlineStr">
        <is>
          <t>02</t>
        </is>
      </c>
      <c r="C27" s="19" t="inlineStr">
        <is>
          <t>Descripción del Producto</t>
        </is>
      </c>
      <c r="D27" s="20" t="inlineStr">
        <is>
          <t>Paso 2 — Codex Paso 2</t>
        </is>
      </c>
      <c r="E27" s="13" t="n"/>
    </row>
    <row r="28" ht="17" customHeight="1">
      <c r="B28" s="15" t="inlineStr">
        <is>
          <t>03</t>
        </is>
      </c>
      <c r="C28" s="16" t="inlineStr">
        <is>
          <t>Uso Previsto</t>
        </is>
      </c>
      <c r="D28" s="17" t="inlineStr">
        <is>
          <t>Paso 3 — Codex Paso 3</t>
        </is>
      </c>
      <c r="E28" s="13" t="n"/>
    </row>
    <row r="29" ht="17" customHeight="1">
      <c r="B29" s="18" t="inlineStr">
        <is>
          <t>04</t>
        </is>
      </c>
      <c r="C29" s="19" t="inlineStr">
        <is>
          <t>Diagrama de Flujo</t>
        </is>
      </c>
      <c r="D29" s="20" t="inlineStr">
        <is>
          <t>Paso 4 — Codex Paso 4</t>
        </is>
      </c>
      <c r="E29" s="13" t="n"/>
    </row>
    <row r="30" ht="17" customHeight="1">
      <c r="B30" s="15" t="inlineStr">
        <is>
          <t>05</t>
        </is>
      </c>
      <c r="C30" s="16" t="inlineStr">
        <is>
          <t>Verificación In Situ</t>
        </is>
      </c>
      <c r="D30" s="17" t="inlineStr">
        <is>
          <t>Paso 5 — Codex Paso 5</t>
        </is>
      </c>
      <c r="E30" s="13" t="n"/>
    </row>
    <row r="31" ht="17" customHeight="1">
      <c r="B31" s="18" t="inlineStr">
        <is>
          <t>06</t>
        </is>
      </c>
      <c r="C31" s="19" t="inlineStr">
        <is>
          <t>Lista de Peligros Potenciales</t>
        </is>
      </c>
      <c r="D31" s="20" t="inlineStr">
        <is>
          <t>Paso 6A — Base del análisis</t>
        </is>
      </c>
      <c r="E31" s="13" t="n"/>
    </row>
    <row r="32" ht="17" customHeight="1">
      <c r="B32" s="15" t="inlineStr">
        <is>
          <t>07</t>
        </is>
      </c>
      <c r="C32" s="16" t="inlineStr">
        <is>
          <t>Análisis de Peligros</t>
        </is>
      </c>
      <c r="D32" s="17" t="inlineStr">
        <is>
          <t>Paso 6B — Principio 1 HACCP</t>
        </is>
      </c>
      <c r="E32" s="13" t="n"/>
    </row>
    <row r="33" ht="17" customHeight="1">
      <c r="B33" s="18" t="inlineStr">
        <is>
          <t>08</t>
        </is>
      </c>
      <c r="C33" s="19" t="inlineStr">
        <is>
          <t>Determinación CCPs</t>
        </is>
      </c>
      <c r="D33" s="20" t="inlineStr">
        <is>
          <t>Paso 7 — Árbol decisiones Codex</t>
        </is>
      </c>
      <c r="E33" s="13" t="n"/>
    </row>
    <row r="34" ht="17" customHeight="1">
      <c r="B34" s="15" t="inlineStr">
        <is>
          <t>09</t>
        </is>
      </c>
      <c r="C34" s="16" t="inlineStr">
        <is>
          <t>Límites Críticos</t>
        </is>
      </c>
      <c r="D34" s="17" t="inlineStr">
        <is>
          <t>Paso 8 — Principio 3 HACCP</t>
        </is>
      </c>
      <c r="E34" s="13" t="n"/>
    </row>
    <row r="35" ht="17" customHeight="1">
      <c r="B35" s="18" t="inlineStr">
        <is>
          <t>10</t>
        </is>
      </c>
      <c r="C35" s="19" t="inlineStr">
        <is>
          <t>Sistema de Monitoreo</t>
        </is>
      </c>
      <c r="D35" s="20" t="inlineStr">
        <is>
          <t>Paso 9 — Principio 4 HACCP</t>
        </is>
      </c>
      <c r="E35" s="13" t="n"/>
    </row>
    <row r="36" ht="17" customHeight="1">
      <c r="B36" s="15" t="inlineStr">
        <is>
          <t>11</t>
        </is>
      </c>
      <c r="C36" s="16" t="inlineStr">
        <is>
          <t>Acciones Correctivas</t>
        </is>
      </c>
      <c r="D36" s="17" t="inlineStr">
        <is>
          <t>Paso 10 — Principio 5 HACCP</t>
        </is>
      </c>
      <c r="E36" s="13" t="n"/>
    </row>
    <row r="37" ht="17" customHeight="1">
      <c r="B37" s="18" t="inlineStr">
        <is>
          <t>12</t>
        </is>
      </c>
      <c r="C37" s="19" t="inlineStr">
        <is>
          <t>Verificación</t>
        </is>
      </c>
      <c r="D37" s="20" t="inlineStr">
        <is>
          <t>Paso 11 — Principio 6 HACCP</t>
        </is>
      </c>
      <c r="E37" s="13" t="n"/>
    </row>
    <row r="38" ht="17" customHeight="1">
      <c r="B38" s="15" t="inlineStr">
        <is>
          <t>13</t>
        </is>
      </c>
      <c r="C38" s="16" t="inlineStr">
        <is>
          <t>Registros y Documentación</t>
        </is>
      </c>
      <c r="D38" s="17" t="inlineStr">
        <is>
          <t>Paso 12 — Principio 7 HACCP</t>
        </is>
      </c>
      <c r="E38" s="13" t="n"/>
    </row>
    <row r="39" ht="17" customHeight="1">
      <c r="B39" s="18" t="inlineStr">
        <is>
          <t>14</t>
        </is>
      </c>
      <c r="C39" s="19" t="inlineStr">
        <is>
          <t>Resumen del Plan HACCP</t>
        </is>
      </c>
      <c r="D39" s="20" t="inlineStr">
        <is>
          <t>Vista consolidada para auditoría</t>
        </is>
      </c>
      <c r="E39" s="13" t="n"/>
    </row>
    <row r="40" ht="17" customHeight="1">
      <c r="B40" s="15" t="inlineStr">
        <is>
          <t>15</t>
        </is>
      </c>
      <c r="C40" s="16" t="inlineStr">
        <is>
          <t>Bibliografía Científica</t>
        </is>
      </c>
      <c r="D40" s="17" t="inlineStr">
        <is>
          <t>Base investigativa — BRCGS Clause 2.2</t>
        </is>
      </c>
      <c r="E40" s="13" t="n"/>
    </row>
    <row r="41" ht="17" customHeight="1">
      <c r="B41" s="18" t="inlineStr">
        <is>
          <t>16</t>
        </is>
      </c>
      <c r="C41" s="19" t="inlineStr">
        <is>
          <t>Alertas Recall</t>
        </is>
      </c>
      <c r="D41" s="20" t="inlineStr">
        <is>
          <t>Monitoreo FDA·RASFF·CFIA·SENASA·ANVISA</t>
        </is>
      </c>
      <c r="E41" s="13" t="n"/>
    </row>
    <row r="44" ht="40" customHeight="1">
      <c r="B44" s="21" t="inlineStr">
        <is>
          <t>⚠ DISCLAIMER: Este plan HACCP fue generado con SafeTrace (safetrace.app) como herramienta de asistencia técnica con Inteligencia Artificial. Requiere VERIFICACIÓN y VALIDACIÓN por un profesional habilitado en inocuidad alimentaria antes de su implementación y presentación en auditoría. SafeTrace no reemplaza la consultoría profesional ni garantiza la aprobación en auditorías GFSI.</t>
        </is>
      </c>
      <c r="C44" s="22" t="n"/>
      <c r="D44" s="22" t="n"/>
      <c r="E44" s="23" t="n"/>
    </row>
  </sheetData>
  <mergeCells count="33">
    <mergeCell ref="C16:E16"/>
    <mergeCell ref="C20:E20"/>
    <mergeCell ref="D34:E34"/>
    <mergeCell ref="C22:E22"/>
    <mergeCell ref="D40:E40"/>
    <mergeCell ref="C21:E21"/>
    <mergeCell ref="D31:E31"/>
    <mergeCell ref="D36:E36"/>
    <mergeCell ref="C12:E12"/>
    <mergeCell ref="C11:E11"/>
    <mergeCell ref="D27:E27"/>
    <mergeCell ref="C17:E17"/>
    <mergeCell ref="B25:E25"/>
    <mergeCell ref="B3:E3"/>
    <mergeCell ref="D32:E32"/>
    <mergeCell ref="D41:E41"/>
    <mergeCell ref="C13:E13"/>
    <mergeCell ref="C19:E19"/>
    <mergeCell ref="D37:E37"/>
    <mergeCell ref="C18:E18"/>
    <mergeCell ref="D28:E28"/>
    <mergeCell ref="B2:E2"/>
    <mergeCell ref="C15:E15"/>
    <mergeCell ref="D39:E39"/>
    <mergeCell ref="C14:E14"/>
    <mergeCell ref="D30:E30"/>
    <mergeCell ref="D33:E33"/>
    <mergeCell ref="D29:E29"/>
    <mergeCell ref="B44:E44"/>
    <mergeCell ref="D38:E38"/>
    <mergeCell ref="B10:E10"/>
    <mergeCell ref="D26:E26"/>
    <mergeCell ref="D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6BA8"/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26" customWidth="1" min="4" max="4"/>
    <col width="28" customWidth="1" min="5" max="5"/>
    <col width="22" customWidth="1" min="6" max="6"/>
    <col width="18" customWidth="1" min="7" max="7"/>
    <col width="4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6" customHeight="1">
      <c r="A2" s="1" t="n"/>
      <c r="B2" s="24" t="inlineStr">
        <is>
          <t>PASO 1 — EQUIPO HACCP</t>
        </is>
      </c>
      <c r="H2" s="1" t="n"/>
    </row>
    <row r="3" ht="14" customHeight="1">
      <c r="B3" s="25" t="inlineStr">
        <is>
          <t>Codex CAC/RCP 1-1969 Rev.2020 — Paso Preliminar 1  |  BRCGS Issue 9 Clause 2.2.3  |  SQF Ed.9 Element 2.4.1  |  FSSC 22000 Cl. 7.1</t>
        </is>
      </c>
    </row>
    <row r="4" ht="8" customHeight="1"/>
    <row r="5" ht="22" customHeight="1">
      <c r="A5" s="26" t="inlineStr"/>
      <c r="B5" s="26" t="inlineStr">
        <is>
          <t>Nombre y Apellido</t>
        </is>
      </c>
      <c r="C5" s="26" t="inlineStr">
        <is>
          <t>Puesto en la Empresa</t>
        </is>
      </c>
      <c r="D5" s="26" t="inlineStr">
        <is>
          <t>Rol en el Plan HACCP</t>
        </is>
      </c>
      <c r="E5" s="26" t="inlineStr">
        <is>
          <t>Responsabilidades Específicas</t>
        </is>
      </c>
      <c r="F5" s="26" t="inlineStr">
        <is>
          <t>Formación / Certificación</t>
        </is>
      </c>
      <c r="G5" s="26" t="inlineStr">
        <is>
          <t>Líder HACCP</t>
        </is>
      </c>
      <c r="H5" s="26" t="inlineStr"/>
    </row>
    <row r="6" ht="38" customHeight="1">
      <c r="A6" s="27" t="inlineStr">
        <is>
          <t>★ LÍDER</t>
        </is>
      </c>
      <c r="B6" s="28" t="inlineStr">
        <is>
          <t>[Nombre Apellido]</t>
        </is>
      </c>
      <c r="C6" s="28" t="inlineStr">
        <is>
          <t>[Responsable de Calidad / Inocuidad]</t>
        </is>
      </c>
      <c r="D6" s="28" t="inlineStr">
        <is>
          <t>Líder del Equipo HACCP</t>
        </is>
      </c>
      <c r="E6" s="28" t="inlineStr">
        <is>
          <t>Coordina el plan; aprueba actualizaciones; presenta en auditoría; gestiona revisión anual</t>
        </is>
      </c>
      <c r="F6" s="28" t="inlineStr">
        <is>
          <t>Lead Auditor GFSI / HACCP Certificado</t>
        </is>
      </c>
      <c r="G6" s="29" t="inlineStr">
        <is>
          <t>SÍ</t>
        </is>
      </c>
    </row>
    <row r="7" ht="38" customHeight="1">
      <c r="A7" s="30" t="inlineStr"/>
      <c r="B7" s="11" t="inlineStr">
        <is>
          <t>[Nombre Apellido]</t>
        </is>
      </c>
      <c r="C7" s="11" t="inlineStr">
        <is>
          <t>[Jefe/a de Producción]</t>
        </is>
      </c>
      <c r="D7" s="11" t="inlineStr">
        <is>
          <t>Miembro — Producción</t>
        </is>
      </c>
      <c r="E7" s="11" t="inlineStr">
        <is>
          <t>Valida el diagrama de flujo in situ; supervisa controles en línea; registra monitoreo de CCPs</t>
        </is>
      </c>
      <c r="F7" s="11" t="inlineStr">
        <is>
          <t>Formación interna HACCP</t>
        </is>
      </c>
      <c r="G7" s="11" t="inlineStr">
        <is>
          <t>No</t>
        </is>
      </c>
    </row>
    <row r="8" ht="38" customHeight="1">
      <c r="A8" s="31" t="inlineStr"/>
      <c r="B8" s="32" t="inlineStr">
        <is>
          <t>[Nombre Apellido]</t>
        </is>
      </c>
      <c r="C8" s="32" t="inlineStr">
        <is>
          <t>[Responsable de Mantenimiento]</t>
        </is>
      </c>
      <c r="D8" s="32" t="inlineStr">
        <is>
          <t>Miembro — Mantenimiento</t>
        </is>
      </c>
      <c r="E8" s="32" t="inlineStr">
        <is>
          <t>Calibración de equipos críticos; mantenimiento preventivo; validación de detectores</t>
        </is>
      </c>
      <c r="F8" s="32" t="inlineStr">
        <is>
          <t>Formación interna</t>
        </is>
      </c>
      <c r="G8" s="32" t="inlineStr">
        <is>
          <t>No</t>
        </is>
      </c>
    </row>
    <row r="9" ht="38" customHeight="1">
      <c r="A9" s="30" t="inlineStr"/>
      <c r="B9" s="11" t="inlineStr">
        <is>
          <t>[Nombre Apellido]</t>
        </is>
      </c>
      <c r="C9" s="11" t="inlineStr">
        <is>
          <t>[Jefe/a de Logística / Almacenes]</t>
        </is>
      </c>
      <c r="D9" s="11" t="inlineStr">
        <is>
          <t>Miembro — Almacenes</t>
        </is>
      </c>
      <c r="E9" s="11" t="inlineStr">
        <is>
          <t>Control de temperaturas en recepción y almacenamiento; gestión FIFO; registros de CCPs</t>
        </is>
      </c>
      <c r="F9" s="11" t="inlineStr">
        <is>
          <t>Formación interna HACCP</t>
        </is>
      </c>
      <c r="G9" s="11" t="inlineStr">
        <is>
          <t>No</t>
        </is>
      </c>
    </row>
    <row r="10" ht="38" customHeight="1">
      <c r="A10" s="31" t="inlineStr"/>
      <c r="B10" s="32" t="inlineStr">
        <is>
          <t>[Nombre Apellido]</t>
        </is>
      </c>
      <c r="C10" s="32" t="inlineStr">
        <is>
          <t>[Responsable de Compras]</t>
        </is>
      </c>
      <c r="D10" s="32" t="inlineStr">
        <is>
          <t>Miembro — Compras / Proveedores</t>
        </is>
      </c>
      <c r="E10" s="32" t="inlineStr">
        <is>
          <t>Aprobación de proveedores; certificados de análisis (COA); alérgenos en materias primas</t>
        </is>
      </c>
      <c r="F10" s="32" t="inlineStr">
        <is>
          <t>Formación interna</t>
        </is>
      </c>
      <c r="G10" s="32" t="inlineStr">
        <is>
          <t>No</t>
        </is>
      </c>
    </row>
    <row r="11" ht="38" customHeight="1">
      <c r="A11" s="30" t="inlineStr"/>
      <c r="B11" s="11" t="inlineStr">
        <is>
          <t>[Nombre Apellido]</t>
        </is>
      </c>
      <c r="C11" s="11" t="inlineStr">
        <is>
          <t>[Microbiólogo/a — Lab]</t>
        </is>
      </c>
      <c r="D11" s="11" t="inlineStr">
        <is>
          <t>Miembro — Laboratorio</t>
        </is>
      </c>
      <c r="E11" s="11" t="inlineStr">
        <is>
          <t>Análisis microbiológicos y fisicoquímicos; validación de límites críticos; calibración</t>
        </is>
      </c>
      <c r="F11" s="11" t="inlineStr">
        <is>
          <t>Licenciado/a Ciencias Alimentos</t>
        </is>
      </c>
      <c r="G11" s="11" t="inlineStr">
        <is>
          <t>No</t>
        </is>
      </c>
    </row>
    <row r="12" ht="38" customHeight="1">
      <c r="A12" s="31" t="inlineStr"/>
      <c r="B12" s="32" t="inlineStr">
        <is>
          <t>[Agregar según organigrama]</t>
        </is>
      </c>
      <c r="C12" s="32" t="inlineStr">
        <is>
          <t>[Puesto]</t>
        </is>
      </c>
      <c r="D12" s="32" t="inlineStr">
        <is>
          <t>[Rol HACCP]</t>
        </is>
      </c>
      <c r="E12" s="32" t="inlineStr">
        <is>
          <t>[Responsabilidades]</t>
        </is>
      </c>
      <c r="F12" s="32" t="inlineStr">
        <is>
          <t>[Formación]</t>
        </is>
      </c>
      <c r="G12" s="32" t="inlineStr">
        <is>
          <t>No</t>
        </is>
      </c>
    </row>
    <row r="14" ht="8" customHeight="1"/>
    <row r="15" ht="22" customHeight="1">
      <c r="B15" s="33" t="inlineStr">
        <is>
          <t>GAPS DETECTADOS Y MIEMBROS SUGERIDOS (generado por IA según BRCGS Clause 2.2.3)</t>
        </is>
      </c>
    </row>
    <row r="16" ht="20" customHeight="1">
      <c r="B16" s="34" t="inlineStr">
        <is>
          <t>→ Gerente General / Dirección: debe ser informado del plan y participar en la revisión anual (requiere Management Commitment — BRCGS Clause 1.1)</t>
        </is>
      </c>
      <c r="C16" s="22" t="n"/>
      <c r="D16" s="22" t="n"/>
      <c r="E16" s="22" t="n"/>
      <c r="F16" s="22" t="n"/>
      <c r="G16" s="23" t="n"/>
    </row>
    <row r="17" ht="20" customHeight="1">
      <c r="B17" s="34" t="inlineStr">
        <is>
          <t>→ Responsable de Higiene y Saneamiento: gestión de PPRs de limpieza y desinfección — incluir si no está cubierto por otro miembro</t>
        </is>
      </c>
      <c r="C17" s="22" t="n"/>
      <c r="D17" s="22" t="n"/>
      <c r="E17" s="22" t="n"/>
      <c r="F17" s="22" t="n"/>
      <c r="G17" s="23" t="n"/>
    </row>
    <row r="18" ht="20" customHeight="1">
      <c r="B18" s="34" t="inlineStr">
        <is>
          <t>→ Responsable de RRHH / Capacitación: plan de formación continua del equipo en HACCP y PRPs</t>
        </is>
      </c>
      <c r="C18" s="22" t="n"/>
      <c r="D18" s="22" t="n"/>
      <c r="E18" s="22" t="n"/>
      <c r="F18" s="22" t="n"/>
      <c r="G18" s="23" t="n"/>
    </row>
  </sheetData>
  <mergeCells count="6">
    <mergeCell ref="B3:G3"/>
    <mergeCell ref="B2:G2"/>
    <mergeCell ref="B16:G16"/>
    <mergeCell ref="B17:G17"/>
    <mergeCell ref="B18:G18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R1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20" customWidth="1" min="3" max="3"/>
    <col width="8" customWidth="1" min="4" max="4"/>
    <col width="10" customWidth="1" min="5" max="5"/>
    <col width="24" customWidth="1" min="6" max="6"/>
    <col width="22" customWidth="1" min="7" max="7"/>
    <col width="26" customWidth="1" min="8" max="8"/>
    <col width="28" customWidth="1" min="9" max="9"/>
    <col width="8" customWidth="1" min="10" max="10"/>
    <col width="8" customWidth="1" min="11" max="11"/>
    <col width="8" customWidth="1" min="12" max="12"/>
    <col width="12" customWidth="1" min="13" max="13"/>
    <col width="28" customWidth="1" min="14" max="14"/>
    <col width="10" customWidth="1" min="15" max="15"/>
    <col width="8" customWidth="1" min="16" max="16"/>
    <col width="28" customWidth="1" min="17" max="17"/>
    <col width="4" customWidth="1" min="18" max="1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4" customHeight="1">
      <c r="A2" s="1" t="n"/>
      <c r="B2" s="35" t="inlineStr">
        <is>
          <t>PASO 6 — ANÁLISIS DE PELIGROS  |  Principio 1 HACCP  |  Codex CAC/RCP 1-1969 Rev.2020</t>
        </is>
      </c>
      <c r="R2" s="1" t="n"/>
    </row>
    <row r="3" ht="16" customHeight="1">
      <c r="A3" s="1" t="n"/>
      <c r="B3" s="36" t="inlineStr">
        <is>
          <t>Evaluación: Probabilidad (1–4) × Severidad (1–4) = Riesgo  |  Umbral significativo: Riesgo ≥ 9  ó  Severidad = 4  |  Fuentes: ICMSF · FDA Bad Bug Book · EFSA Opinions · Codex STAN 193 · EU Reg.1881/2006 · FDA 21 CFR · RASFF · PubMed</t>
        </is>
      </c>
      <c r="R3" s="1" t="n"/>
    </row>
    <row r="4" ht="8" customHeight="1"/>
    <row r="5" ht="18" customHeight="1">
      <c r="B5" s="37" t="inlineStr">
        <is>
          <t>B = Biológico</t>
        </is>
      </c>
      <c r="E5" s="38" t="inlineStr">
        <is>
          <t>Q = Químico</t>
        </is>
      </c>
      <c r="H5" s="39" t="inlineStr">
        <is>
          <t>F = Físico</t>
        </is>
      </c>
      <c r="K5" s="40" t="inlineStr">
        <is>
          <t>A = Alérgeno</t>
        </is>
      </c>
      <c r="N5" s="37" t="inlineStr">
        <is>
          <t>★ CCP</t>
        </is>
      </c>
      <c r="O5" s="41" t="inlineStr">
        <is>
          <t>◈ OPRP</t>
        </is>
      </c>
      <c r="P5" s="42" t="inlineStr">
        <is>
          <t>· PPR</t>
        </is>
      </c>
    </row>
    <row r="6" ht="30" customHeight="1">
      <c r="B6" s="43" t="inlineStr">
        <is>
          <t>ID</t>
        </is>
      </c>
      <c r="C6" s="43" t="inlineStr">
        <is>
          <t>Etapa del Proceso</t>
        </is>
      </c>
      <c r="D6" s="43" t="inlineStr">
        <is>
          <t>Zona Riesgo</t>
        </is>
      </c>
      <c r="E6" s="43" t="inlineStr">
        <is>
          <t>Tipo</t>
        </is>
      </c>
      <c r="F6" s="43" t="inlineStr">
        <is>
          <t>Peligro Identificado</t>
        </is>
      </c>
      <c r="G6" s="43" t="inlineStr">
        <is>
          <t>Agente Específico</t>
        </is>
      </c>
      <c r="H6" s="43" t="inlineStr">
        <is>
          <t>Causa / Fuente</t>
        </is>
      </c>
      <c r="I6" s="43" t="inlineStr">
        <is>
          <t>Base Científica / Referencia</t>
        </is>
      </c>
      <c r="J6" s="43" t="inlineStr">
        <is>
          <t>Probabilidad
(1–4)</t>
        </is>
      </c>
      <c r="K6" s="43" t="inlineStr">
        <is>
          <t>Severidad
(1–4)</t>
        </is>
      </c>
      <c r="L6" s="43" t="inlineStr">
        <is>
          <t>Riesgo
(P×S)</t>
        </is>
      </c>
      <c r="M6" s="43" t="inlineStr">
        <is>
          <t>Significativo</t>
        </is>
      </c>
      <c r="N6" s="43" t="inlineStr">
        <is>
          <t>Medida de Control</t>
        </is>
      </c>
      <c r="O6" s="43" t="inlineStr">
        <is>
          <t>Tipo
Control</t>
        </is>
      </c>
      <c r="P6" s="43" t="inlineStr">
        <is>
          <t>CCP ID</t>
        </is>
      </c>
      <c r="Q6" s="43" t="inlineStr">
        <is>
          <t>Legislación Aplicable</t>
        </is>
      </c>
    </row>
    <row r="7" ht="52" customHeight="1">
      <c r="B7" s="44" t="inlineStr">
        <is>
          <t>P-001</t>
        </is>
      </c>
      <c r="C7" s="45" t="inlineStr">
        <is>
          <t>Recepción de Materia Prima</t>
        </is>
      </c>
      <c r="D7" s="46" t="inlineStr">
        <is>
          <t>Zona Abierta — Bajo Riesgo</t>
        </is>
      </c>
      <c r="E7" s="47" t="inlineStr">
        <is>
          <t>B</t>
        </is>
      </c>
      <c r="F7" s="48" t="inlineStr">
        <is>
          <t>Bacterias patógenas</t>
        </is>
      </c>
      <c r="G7" s="48" t="inlineStr">
        <is>
          <t>Salmonella spp., E. coli O157:H7, Listeria monocytogenes</t>
        </is>
      </c>
      <c r="H7" s="48" t="inlineStr">
        <is>
          <t>Contaminación en campo (agua riego, suelo, animales), condiciones de transporte, higiene del operario</t>
        </is>
      </c>
      <c r="I7" s="48" t="inlineStr">
        <is>
          <t>ICMSF Microorg. in Foods Vol.6 (2005); FDA Bad Bug Book 3rd ed.; EFSA J. 2021;19:e06599</t>
        </is>
      </c>
      <c r="J7" s="46" t="n">
        <v>3</v>
      </c>
      <c r="K7" s="46" t="n">
        <v>4</v>
      </c>
      <c r="L7" s="46">
        <f>J8*K8</f>
        <v/>
      </c>
      <c r="M7" s="48" t="inlineStr">
        <is>
          <t>SÍ — Riesgo 12</t>
        </is>
      </c>
      <c r="N7" s="49" t="inlineStr"/>
      <c r="O7" s="50" t="inlineStr">
        <is>
          <t>OPRP</t>
        </is>
      </c>
      <c r="P7" s="48" t="inlineStr">
        <is>
          <t>OPRP-01</t>
        </is>
      </c>
      <c r="Q7" s="48" t="inlineStr">
        <is>
          <t>FDA 21 CFR Part 117; Codex CAC/RCP 1-1969; EU Reg.852/2004</t>
        </is>
      </c>
    </row>
    <row r="8" ht="52" customHeight="1">
      <c r="B8" s="51" t="inlineStr">
        <is>
          <t>P-002</t>
        </is>
      </c>
      <c r="C8" s="52" t="inlineStr">
        <is>
          <t>Recepción de Materia Prima</t>
        </is>
      </c>
      <c r="D8" s="53" t="inlineStr">
        <is>
          <t>Zona Abierta — Bajo Riesgo</t>
        </is>
      </c>
      <c r="E8" s="54" t="inlineStr">
        <is>
          <t>Q</t>
        </is>
      </c>
      <c r="F8" s="55" t="inlineStr">
        <is>
          <t>Micotoxinas</t>
        </is>
      </c>
      <c r="G8" s="55" t="inlineStr">
        <is>
          <t>Aflatoxinas B1/B2/G1/G2, Ocratoxina A, DON, Fumonisinas</t>
        </is>
      </c>
      <c r="H8" s="55" t="inlineStr">
        <is>
          <t>Hongos toxigénicos en campo o almacenamiento; humedad &gt;60%; temperatura; daño por insectos</t>
        </is>
      </c>
      <c r="I8" s="55" t="inlineStr">
        <is>
          <t>ICMSF Vol.6 p.302; EFSA CONTAM Panel (2023) Aflatoxinas; FAO/WHO JECFA 2017; RASFF 2022-2023</t>
        </is>
      </c>
      <c r="J8" s="53" t="n">
        <v>3</v>
      </c>
      <c r="K8" s="53" t="n">
        <v>3</v>
      </c>
      <c r="L8" s="53">
        <f>J9*K9</f>
        <v/>
      </c>
      <c r="M8" s="55" t="inlineStr">
        <is>
          <t>SÍ — Riesgo 9</t>
        </is>
      </c>
      <c r="N8" s="49" t="inlineStr"/>
      <c r="O8" s="50" t="inlineStr">
        <is>
          <t>OPRP</t>
        </is>
      </c>
      <c r="P8" s="55" t="inlineStr">
        <is>
          <t>OPRP-02</t>
        </is>
      </c>
      <c r="Q8" s="55" t="inlineStr">
        <is>
          <t>EU Reg.1881/2006 amend.; Codex STAN 193-1995; FDA CPG Sec.690.100</t>
        </is>
      </c>
    </row>
    <row r="9" ht="52" customHeight="1">
      <c r="B9" s="44" t="inlineStr">
        <is>
          <t>P-003</t>
        </is>
      </c>
      <c r="C9" s="52" t="inlineStr">
        <is>
          <t>Recepción de Materia Prima</t>
        </is>
      </c>
      <c r="D9" s="46" t="inlineStr">
        <is>
          <t>Zona Abierta — Bajo Riesgo</t>
        </is>
      </c>
      <c r="E9" s="54" t="inlineStr">
        <is>
          <t>Q</t>
        </is>
      </c>
      <c r="F9" s="48" t="inlineStr">
        <is>
          <t>Residuos de plaguicidas</t>
        </is>
      </c>
      <c r="G9" s="48" t="inlineStr">
        <is>
          <t>Glifosato, clorpirifos-metil, carbendazim — por encima del LMR destino</t>
        </is>
      </c>
      <c r="H9" s="48" t="inlineStr">
        <is>
          <t>Deriva pulverización; aplicación inadecuada; incumplimiento período carencia; contaminación cruzada</t>
        </is>
      </c>
      <c r="I9" s="48" t="inlineStr">
        <is>
          <t>EU Reg.396/2005 MRL DB; EPA 40 CFR 180; USDA FAS MRL DB; Codex STAN 193; EFSA Pesticide DB</t>
        </is>
      </c>
      <c r="J9" s="46" t="n">
        <v>4</v>
      </c>
      <c r="K9" s="46" t="n">
        <v>3</v>
      </c>
      <c r="L9" s="46">
        <f>J10*K10</f>
        <v/>
      </c>
      <c r="M9" s="48" t="inlineStr">
        <is>
          <t>SÍ — Riesgo 12</t>
        </is>
      </c>
      <c r="N9" s="49" t="inlineStr"/>
      <c r="O9" s="50" t="inlineStr">
        <is>
          <t>OPRP</t>
        </is>
      </c>
      <c r="P9" s="48" t="inlineStr">
        <is>
          <t>OPRP-03</t>
        </is>
      </c>
      <c r="Q9" s="48" t="inlineStr">
        <is>
          <t>EU Reg.396/2005; EPA 40 CFR 180; FDA 21 CFR 193; Codex Pest.MRL DB</t>
        </is>
      </c>
    </row>
    <row r="10" ht="52" customHeight="1">
      <c r="B10" s="51" t="inlineStr">
        <is>
          <t>P-004</t>
        </is>
      </c>
      <c r="C10" s="52" t="inlineStr">
        <is>
          <t>Recepción de Materia Prima</t>
        </is>
      </c>
      <c r="D10" s="53" t="inlineStr">
        <is>
          <t>Zona Abierta — Bajo Riesgo</t>
        </is>
      </c>
      <c r="E10" s="54" t="inlineStr">
        <is>
          <t>Q</t>
        </is>
      </c>
      <c r="F10" s="55" t="inlineStr">
        <is>
          <t>Metales pesados</t>
        </is>
      </c>
      <c r="G10" s="55" t="inlineStr">
        <is>
          <t>Pb, Cd, Hg, As — contaminación geoquímica o industrial del suelo</t>
        </is>
      </c>
      <c r="H10" s="55" t="inlineStr">
        <is>
          <t>Suelo contaminado (pasado industrial); agua de riego; tratamientos con pesticidas arsenicales</t>
        </is>
      </c>
      <c r="I10" s="55" t="inlineStr">
        <is>
          <t>EU Reg.1881/2006 Annex I; Codex STAN 193 Sec.3; FDA CFSAN CPG; WHO/FAO JECFA Pb/Cd/Hg</t>
        </is>
      </c>
      <c r="J10" s="53" t="n">
        <v>3</v>
      </c>
      <c r="K10" s="53" t="n">
        <v>3</v>
      </c>
      <c r="L10" s="53">
        <f>J11*K11</f>
        <v/>
      </c>
      <c r="M10" s="55" t="inlineStr">
        <is>
          <t>SÍ — Riesgo 9</t>
        </is>
      </c>
      <c r="N10" s="49" t="inlineStr"/>
      <c r="O10" s="50" t="inlineStr">
        <is>
          <t>OPRP</t>
        </is>
      </c>
      <c r="P10" s="55" t="inlineStr">
        <is>
          <t>OPRP-04</t>
        </is>
      </c>
      <c r="Q10" s="55" t="inlineStr">
        <is>
          <t>EU Reg.1881/2006 (Cd max 0.1 mg/kg cereales); Codex STAN 193; FDA 21 CFR 109.6</t>
        </is>
      </c>
    </row>
    <row r="11" ht="52" customHeight="1">
      <c r="B11" s="44" t="inlineStr">
        <is>
          <t>P-005</t>
        </is>
      </c>
      <c r="C11" s="56" t="inlineStr">
        <is>
          <t>Recepción de Materia Prima</t>
        </is>
      </c>
      <c r="D11" s="46" t="inlineStr">
        <is>
          <t>Zona Abierta — Bajo Riesgo</t>
        </is>
      </c>
      <c r="E11" s="57" t="inlineStr">
        <is>
          <t>A</t>
        </is>
      </c>
      <c r="F11" s="48" t="inlineStr">
        <is>
          <t>Alérgenos no declarados</t>
        </is>
      </c>
      <c r="G11" s="48" t="inlineStr">
        <is>
          <t>Gluten, Soja, Maní, Sésamo, Lácteos — contaminación cruzada campo/transporte</t>
        </is>
      </c>
      <c r="H11" s="48" t="inlineStr">
        <is>
          <t>Rotación de cultivos; transporte compartido; limpieza inadecuada de equipos</t>
        </is>
      </c>
      <c r="I11" s="48" t="inlineStr">
        <is>
          <t>FDA FASTER Act 2023 (Big 9); EU Reg.1169/2011 Annex II; FSANZ Std.1.2.3; CFIA SFCR</t>
        </is>
      </c>
      <c r="J11" s="46" t="n">
        <v>4</v>
      </c>
      <c r="K11" s="46" t="n">
        <v>4</v>
      </c>
      <c r="L11" s="46">
        <f>J12*K12</f>
        <v/>
      </c>
      <c r="M11" s="48" t="inlineStr">
        <is>
          <t>SÍ — Riesgo 16</t>
        </is>
      </c>
      <c r="N11" s="49" t="inlineStr"/>
      <c r="O11" s="50" t="inlineStr">
        <is>
          <t>OPRP</t>
        </is>
      </c>
      <c r="P11" s="48" t="inlineStr">
        <is>
          <t>OPRP-05</t>
        </is>
      </c>
      <c r="Q11" s="48" t="inlineStr">
        <is>
          <t>FDA FASTER Act 2023; EU 1169/2011; FSANZ 1.2.3; CFIA SFCR; Argentina CAA Art.235 quin.</t>
        </is>
      </c>
    </row>
    <row r="12" ht="52" customHeight="1">
      <c r="B12" s="51" t="inlineStr">
        <is>
          <t>P-006</t>
        </is>
      </c>
      <c r="C12" s="58" t="inlineStr">
        <is>
          <t>Recepción de Materia Prima</t>
        </is>
      </c>
      <c r="D12" s="53" t="inlineStr">
        <is>
          <t>Zona Abierta — Bajo Riesgo</t>
        </is>
      </c>
      <c r="E12" s="59" t="inlineStr">
        <is>
          <t>F</t>
        </is>
      </c>
      <c r="F12" s="55" t="inlineStr">
        <is>
          <t>Cuerpos extraños metálicos</t>
        </is>
      </c>
      <c r="G12" s="55" t="inlineStr">
        <is>
          <t>Tuercas, tornillos, alambres, fragmentos de maquinaria agrícola, balas</t>
        </is>
      </c>
      <c r="H12" s="55" t="inlineStr">
        <is>
          <t>Maquinaria cosechadora desgastada; manipulación en campo; transporte sin protección</t>
        </is>
      </c>
      <c r="I12" s="55" t="inlineStr">
        <is>
          <t>FDA Defect Action Levels CPG Sec.555.425; BRCGS Technical Standard Físicos; BRCGS Issue 9 Cl.4.9</t>
        </is>
      </c>
      <c r="J12" s="53" t="n">
        <v>4</v>
      </c>
      <c r="K12" s="53" t="n">
        <v>4</v>
      </c>
      <c r="L12" s="53">
        <f>J13*K13</f>
        <v/>
      </c>
      <c r="M12" s="55" t="inlineStr">
        <is>
          <t>SÍ — Riesgo 16 → CCP</t>
        </is>
      </c>
      <c r="N12" s="60" t="inlineStr"/>
      <c r="O12" s="61" t="inlineStr">
        <is>
          <t>CCP</t>
        </is>
      </c>
      <c r="P12" s="55" t="inlineStr">
        <is>
          <t>CCP-1</t>
        </is>
      </c>
      <c r="Q12" s="55" t="inlineStr">
        <is>
          <t>FDA CPG Sec.555.425; BRCGS Issue 9 Cl.4.9.1; EU EFSA Physical Hazards</t>
        </is>
      </c>
    </row>
    <row r="13" ht="52" customHeight="1">
      <c r="B13" s="44" t="inlineStr">
        <is>
          <t>P-007</t>
        </is>
      </c>
      <c r="C13" s="45" t="inlineStr">
        <is>
          <t>Almacenamiento Refrigerado / Silo</t>
        </is>
      </c>
      <c r="D13" s="46" t="inlineStr">
        <is>
          <t>Zona Controlada</t>
        </is>
      </c>
      <c r="E13" s="47" t="inlineStr">
        <is>
          <t>B</t>
        </is>
      </c>
      <c r="F13" s="48" t="inlineStr">
        <is>
          <t>Crecimiento de patógenos</t>
        </is>
      </c>
      <c r="G13" s="48" t="inlineStr">
        <is>
          <t>L. monocytogenes, B. cereus — multiplicación por ruptura cadena frío</t>
        </is>
      </c>
      <c r="H13" s="48" t="inlineStr">
        <is>
          <t>Falla equipo refrigeración; fluctuación temperatura; sobrecarga del almacén</t>
        </is>
      </c>
      <c r="I13" s="48" t="inlineStr">
        <is>
          <t>ICMSF Vol.5 Listeria p.188; FDA BAM Ch.10; EFSA J.2018;16:5134 Listeria</t>
        </is>
      </c>
      <c r="J13" s="46" t="n">
        <v>2</v>
      </c>
      <c r="K13" s="46" t="n">
        <v>4</v>
      </c>
      <c r="L13" s="46">
        <f>J14*K14</f>
        <v/>
      </c>
      <c r="M13" s="48" t="inlineStr">
        <is>
          <t>SÍ — Riesgo 8</t>
        </is>
      </c>
      <c r="N13" s="60" t="inlineStr"/>
      <c r="O13" s="61" t="inlineStr">
        <is>
          <t>CCP</t>
        </is>
      </c>
      <c r="P13" s="48" t="inlineStr">
        <is>
          <t>CCP-2</t>
        </is>
      </c>
      <c r="Q13" s="48" t="inlineStr">
        <is>
          <t>FDA 21 CFR 110; EU Reg.2073/2005 Criterio Listeria; Codex CAC/RCP 1-1969</t>
        </is>
      </c>
    </row>
    <row r="14" ht="52" customHeight="1">
      <c r="B14" s="51" t="inlineStr">
        <is>
          <t>P-008</t>
        </is>
      </c>
      <c r="C14" s="45" t="inlineStr">
        <is>
          <t>Tratamiento Térmico / Cocción</t>
        </is>
      </c>
      <c r="D14" s="53" t="inlineStr">
        <is>
          <t>Zona de Alto Riesgo</t>
        </is>
      </c>
      <c r="E14" s="47" t="inlineStr">
        <is>
          <t>B</t>
        </is>
      </c>
      <c r="F14" s="55" t="inlineStr">
        <is>
          <t>Supervivencia de patógenos</t>
        </is>
      </c>
      <c r="G14" s="55" t="inlineStr">
        <is>
          <t>Salmonella spp., E. coli O157:H7 — T° insuficiente</t>
        </is>
      </c>
      <c r="H14" s="55" t="inlineStr">
        <is>
          <t>Temperatura interna insuficiente; distribución irregular del calor; sobrecarga del equipo</t>
        </is>
      </c>
      <c r="I14" s="55" t="inlineStr">
        <is>
          <t>ICMSF Vol.5 Cap.Calor; FDA 2019 Guidance Thermal Process Validation; USDA FSIS Performance Standards</t>
        </is>
      </c>
      <c r="J14" s="53" t="n">
        <v>2</v>
      </c>
      <c r="K14" s="53" t="n">
        <v>4</v>
      </c>
      <c r="L14" s="53">
        <f>J15*K15</f>
        <v/>
      </c>
      <c r="M14" s="55" t="inlineStr">
        <is>
          <t>SÍ — Riesgo 8 → CCP</t>
        </is>
      </c>
      <c r="N14" s="60" t="inlineStr"/>
      <c r="O14" s="61" t="inlineStr">
        <is>
          <t>CCP</t>
        </is>
      </c>
      <c r="P14" s="55" t="inlineStr">
        <is>
          <t>CCP-3</t>
        </is>
      </c>
      <c r="Q14" s="55" t="inlineStr">
        <is>
          <t>FDA 21 CFR 417; USDA 9 CFR Part 417; Codex CAC/RCP 1-1969 P3</t>
        </is>
      </c>
    </row>
    <row r="15" ht="52" customHeight="1">
      <c r="B15" s="44" t="inlineStr">
        <is>
          <t>P-009</t>
        </is>
      </c>
      <c r="C15" s="56" t="inlineStr">
        <is>
          <t>Envasado / Etiquetado</t>
        </is>
      </c>
      <c r="D15" s="46" t="inlineStr">
        <is>
          <t>Zona de Alto Riesgo</t>
        </is>
      </c>
      <c r="E15" s="57" t="inlineStr">
        <is>
          <t>A</t>
        </is>
      </c>
      <c r="F15" s="48" t="inlineStr">
        <is>
          <t>Declaración incorrecta de alérgenos</t>
        </is>
      </c>
      <c r="G15" s="48" t="inlineStr">
        <is>
          <t>Error en etiqueta; cambio de formulación no comunicado</t>
        </is>
      </c>
      <c r="H15" s="48" t="inlineStr">
        <is>
          <t>Error de impresión; cambio de proveedor; rotación de líneas con distintos productos</t>
        </is>
      </c>
      <c r="I15" s="48" t="inlineStr">
        <is>
          <t>FDA FASTER Act 2023; CFSAN Guidance Allergen Labeling 2022; EU 1169/2011 Annex II</t>
        </is>
      </c>
      <c r="J15" s="46" t="n">
        <v>2</v>
      </c>
      <c r="K15" s="46" t="n">
        <v>4</v>
      </c>
      <c r="L15" s="46">
        <f>J16*K16</f>
        <v/>
      </c>
      <c r="M15" s="48" t="inlineStr">
        <is>
          <t>SÍ — Riesgo 8</t>
        </is>
      </c>
      <c r="N15" s="49" t="inlineStr"/>
      <c r="O15" s="50" t="inlineStr">
        <is>
          <t>OPRP</t>
        </is>
      </c>
      <c r="P15" s="48" t="inlineStr">
        <is>
          <t>OPRP-06</t>
        </is>
      </c>
      <c r="Q15" s="48" t="inlineStr">
        <is>
          <t>FDA FASTER Act 2023; EU 1169/2011; CFIA; Australia FSANZ Std.1.2.3</t>
        </is>
      </c>
    </row>
    <row r="16" ht="52" customHeight="1">
      <c r="B16" s="51" t="inlineStr">
        <is>
          <t>P-010</t>
        </is>
      </c>
      <c r="C16" s="58" t="inlineStr">
        <is>
          <t>Detección de Metales</t>
        </is>
      </c>
      <c r="D16" s="53" t="inlineStr">
        <is>
          <t>Zona de Alto Riesgo</t>
        </is>
      </c>
      <c r="E16" s="59" t="inlineStr">
        <is>
          <t>F</t>
        </is>
      </c>
      <c r="F16" s="55" t="inlineStr">
        <is>
          <t>Fragmentos metálicos en producto terminado</t>
        </is>
      </c>
      <c r="G16" s="55" t="inlineStr">
        <is>
          <t>Fe, No Fe, Acero inoxidable — de equipos de proceso</t>
        </is>
      </c>
      <c r="H16" s="55" t="inlineStr">
        <is>
          <t>Desgaste de tamices, cuchillas, tuercas; rotura de partes de maquinaria durante proceso</t>
        </is>
      </c>
      <c r="I16" s="55" t="inlineStr">
        <is>
          <t>BRCGS Issue 9 Cl.4.9.2; FDA Defect Levels; IFSQN Metal Detection Guidelines BRC</t>
        </is>
      </c>
      <c r="J16" s="53" t="n">
        <v>2</v>
      </c>
      <c r="K16" s="53" t="n">
        <v>4</v>
      </c>
      <c r="L16" s="53">
        <f>J17*K17</f>
        <v/>
      </c>
      <c r="M16" s="55" t="inlineStr">
        <is>
          <t>SÍ — Riesgo 8 → CCP</t>
        </is>
      </c>
      <c r="N16" s="60" t="inlineStr"/>
      <c r="O16" s="61" t="inlineStr">
        <is>
          <t>CCP</t>
        </is>
      </c>
      <c r="P16" s="55" t="inlineStr">
        <is>
          <t>CCP-4</t>
        </is>
      </c>
      <c r="Q16" s="55" t="inlineStr">
        <is>
          <t>FDA CPG Sec.555.425; BRCGS Issue 9 Cl.4.9; EU Reg.852/2004</t>
        </is>
      </c>
    </row>
    <row r="17" ht="52" customHeight="1">
      <c r="B17" s="44" t="inlineStr">
        <is>
          <t>P-011</t>
        </is>
      </c>
      <c r="C17" s="52" t="inlineStr">
        <is>
          <t>Todos los procesos</t>
        </is>
      </c>
      <c r="D17" s="46" t="inlineStr">
        <is>
          <t>General</t>
        </is>
      </c>
      <c r="E17" s="54" t="inlineStr">
        <is>
          <t>Q</t>
        </is>
      </c>
      <c r="F17" s="48" t="inlineStr">
        <is>
          <t>Contaminación química industrial</t>
        </is>
      </c>
      <c r="G17" s="48" t="inlineStr">
        <is>
          <t>Lubricantes no food grade, productos de limpieza no autorizados</t>
        </is>
      </c>
      <c r="H17" s="48" t="inlineStr">
        <is>
          <t>Derrame accidental; mantenimiento con productos no homologados; ausencia de control</t>
        </is>
      </c>
      <c r="I17" s="48" t="inlineStr">
        <is>
          <t>BRCGS Issue 9 Cl.4.7; FDA 21 CFR 178.3570 food-grade lubricants; CODEX CAC/RCP 1-1969</t>
        </is>
      </c>
      <c r="J17" s="46" t="n">
        <v>1</v>
      </c>
      <c r="K17" s="46" t="n">
        <v>3</v>
      </c>
      <c r="L17" s="46">
        <f>J18*K18</f>
        <v/>
      </c>
      <c r="M17" s="48" t="inlineStr">
        <is>
          <t>No — Riesgo 3</t>
        </is>
      </c>
      <c r="N17" s="62" t="inlineStr"/>
      <c r="O17" s="46" t="inlineStr">
        <is>
          <t>PPR</t>
        </is>
      </c>
      <c r="P17" s="48" t="inlineStr">
        <is>
          <t>—</t>
        </is>
      </c>
      <c r="Q17" s="48" t="inlineStr">
        <is>
          <t>FDA 21 CFR 178.3570; BRCGS Cl.4.7; EU Reg.1935/2004</t>
        </is>
      </c>
    </row>
  </sheetData>
  <autoFilter ref="B6:Q17"/>
  <mergeCells count="2">
    <mergeCell ref="B2:Q2"/>
    <mergeCell ref="B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N1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20" customWidth="1" min="3" max="3"/>
    <col width="24" customWidth="1" min="4" max="4"/>
    <col width="26" customWidth="1" min="5" max="5"/>
    <col width="28" customWidth="1" min="6" max="6"/>
    <col width="28" customWidth="1" min="7" max="7"/>
    <col width="10" customWidth="1" min="8" max="8"/>
    <col width="10" customWidth="1" min="9" max="9"/>
    <col width="14" customWidth="1" min="10" max="10"/>
    <col width="18" customWidth="1" min="11" max="11"/>
    <col width="28" customWidth="1" min="12" max="12"/>
    <col width="22" customWidth="1" min="13" max="13"/>
    <col width="4" customWidth="1" min="14" max="14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>
      <c r="A2" s="1" t="n"/>
      <c r="B2" s="35" t="inlineStr">
        <is>
          <t>PASOS 7–10 — PUNTOS CRÍTICOS DE CONTROL (CCPs)  |  Principios 2–5 HACCP</t>
        </is>
      </c>
      <c r="N2" s="1" t="n"/>
    </row>
    <row r="3" ht="14" customHeight="1">
      <c r="A3" s="1" t="n"/>
      <c r="B3" s="36" t="inlineStr">
        <is>
          <t>Árbol de Decisión Codex CAC/RCP 1-1969 Rev.2020 (Preguntas P1–P4)  |  Límites críticos con referencia normativa exacta  |  BRCGS Issue 9 Cl.2.7–2.9</t>
        </is>
      </c>
      <c r="N3" s="1" t="n"/>
    </row>
    <row r="4" ht="8" customHeight="1"/>
    <row r="5" ht="16" customHeight="1">
      <c r="B5" s="63" t="inlineStr">
        <is>
          <t>IDENTIFICACIÓN</t>
        </is>
      </c>
      <c r="D5" s="63" t="inlineStr">
        <is>
          <t>LÍMITE CRÍTICO</t>
        </is>
      </c>
      <c r="E5" s="64" t="n"/>
      <c r="F5" s="65" t="n"/>
      <c r="G5" s="63" t="inlineStr">
        <is>
          <t>SISTEMA DE MONITOREO (Paso 9)</t>
        </is>
      </c>
      <c r="H5" s="64" t="n"/>
      <c r="I5" s="64" t="n"/>
      <c r="J5" s="65" t="n"/>
      <c r="K5" s="63" t="inlineStr">
        <is>
          <t>ACCIÓN CORRECTIVA (Paso 10)</t>
        </is>
      </c>
      <c r="L5" s="64" t="n"/>
      <c r="M5" s="65" t="n"/>
    </row>
    <row r="6" ht="30" customHeight="1">
      <c r="B6" s="43" t="inlineStr">
        <is>
          <t>CCP ID</t>
        </is>
      </c>
      <c r="C6" s="43" t="inlineStr">
        <is>
          <t>Etapa del Proceso</t>
        </is>
      </c>
      <c r="D6" s="43" t="inlineStr">
        <is>
          <t>Peligro Controlado</t>
        </is>
      </c>
      <c r="E6" s="43" t="inlineStr">
        <is>
          <t>Base Científica del Límite</t>
        </is>
      </c>
      <c r="F6" s="43" t="inlineStr">
        <is>
          <t>Límite Crítico</t>
        </is>
      </c>
      <c r="G6" s="43" t="inlineStr">
        <is>
          <t>Referencia Normativa Exacta</t>
        </is>
      </c>
      <c r="H6" s="43" t="inlineStr">
        <is>
          <t>Qué se Monitorea</t>
        </is>
      </c>
      <c r="I6" s="43" t="inlineStr">
        <is>
          <t>Frecuencia</t>
        </is>
      </c>
      <c r="J6" s="43" t="inlineStr">
        <is>
          <t>Método / Instrumento</t>
        </is>
      </c>
      <c r="K6" s="43" t="inlineStr">
        <is>
          <t>Responsable Monitoreo</t>
        </is>
      </c>
      <c r="L6" s="43" t="inlineStr">
        <is>
          <t>Acción Correctiva Inmediata</t>
        </is>
      </c>
      <c r="M6" s="43" t="inlineStr">
        <is>
          <t>Manejo Producto Afectado</t>
        </is>
      </c>
      <c r="N6" s="43" t="inlineStr">
        <is>
          <t>Registro Asociado</t>
        </is>
      </c>
    </row>
    <row r="7" ht="65" customHeight="1">
      <c r="B7" s="66" t="inlineStr">
        <is>
          <t>CCP-1</t>
        </is>
      </c>
      <c r="C7" s="67" t="inlineStr">
        <is>
          <t>Recepción — Control Temperatura</t>
        </is>
      </c>
      <c r="D7" s="67" t="inlineStr">
        <is>
          <t>Crecimiento de patógenos (Salmonella, L.monocytogenes) por ruptura cadena frío</t>
        </is>
      </c>
      <c r="E7" s="67" t="inlineStr">
        <is>
          <t>Temperatura de recepción ≤4°C elimina/controla riesgo de crecimiento. (ICMSF Vol.5 p.188; FDA BAM Ch.10)</t>
        </is>
      </c>
      <c r="F7" s="68" t="inlineStr">
        <is>
          <t>Temperatura de recepción ≤ 4°C para refrigerados | ≤ -18°C para congelados</t>
        </is>
      </c>
      <c r="G7" s="69" t="inlineStr">
        <is>
          <t>FDA 21 CFR 110.80(b); Codex CAC/RCP 1-1969; EU Reg.853/2004 Annex III</t>
        </is>
      </c>
      <c r="H7" s="67" t="inlineStr">
        <is>
          <t>Temperatura interna del producto al ingreso</t>
        </is>
      </c>
      <c r="I7" s="67" t="inlineStr">
        <is>
          <t>100% de cada lote recibido</t>
        </is>
      </c>
      <c r="J7" s="67" t="inlineStr">
        <is>
          <t>Termómetro calibrado (±0.5°C) / Sonda de temperatura certificada NIST</t>
        </is>
      </c>
      <c r="K7" s="67" t="inlineStr">
        <is>
          <t>Operador Recepción + Supervisor Calidad</t>
        </is>
      </c>
      <c r="L7" s="67" t="inlineStr">
        <is>
          <t>Rechazar lote si T° &gt;4°C. Notificar proveedor. Documentar motivo de rechazo.</t>
        </is>
      </c>
      <c r="M7" s="67" t="inlineStr">
        <is>
          <t>Segregar lote en cuarentena. Evaluar aptitud con Resp. Calidad. Destruir si necesario.</t>
        </is>
      </c>
      <c r="N7" s="67" t="inlineStr">
        <is>
          <t>RG-CCP-01 Control Temperatura Recepción</t>
        </is>
      </c>
    </row>
    <row r="8" ht="65" customHeight="1">
      <c r="B8" s="66" t="inlineStr">
        <is>
          <t>CCP-2</t>
        </is>
      </c>
      <c r="C8" s="55" t="inlineStr">
        <is>
          <t>Almacenamiento Refrigerado / Congelado</t>
        </is>
      </c>
      <c r="D8" s="55" t="inlineStr">
        <is>
          <t>Crecimiento de patógenos por temperatura fuera de rango en cámara</t>
        </is>
      </c>
      <c r="E8" s="55" t="inlineStr">
        <is>
          <t>Temperatura &lt;4°C inhibe crecimiento de la mayoría de patógenos incluyendo L.monocytogenes. (FDA Bad Bug Book; ICMSF Vol.5)</t>
        </is>
      </c>
      <c r="F8" s="70" t="inlineStr">
        <is>
          <t>Temperatura cámara refrigerada: 0°C a +4°C continuo | Congelados: ≤ -18°C</t>
        </is>
      </c>
      <c r="G8" s="71" t="inlineStr">
        <is>
          <t>FDA 21 CFR 110.93; EU Reg.852/2004 Annex II Ch.IX; Codex CAC/RCP 1-1969 P8</t>
        </is>
      </c>
      <c r="H8" s="55" t="inlineStr">
        <is>
          <t>Temperatura de cámara (registro continuo)</t>
        </is>
      </c>
      <c r="I8" s="55" t="inlineStr">
        <is>
          <t>Automático cada 30 min + verificación manual 2×/turno</t>
        </is>
      </c>
      <c r="J8" s="55" t="inlineStr">
        <is>
          <t>Data logger calibrado NIST / Sistema SCADA + alarma automática por excursión</t>
        </is>
      </c>
      <c r="K8" s="55" t="inlineStr">
        <is>
          <t>Responsable Almacenes / Mantenimiento (alarma)</t>
        </is>
      </c>
      <c r="L8" s="55" t="inlineStr">
        <is>
          <t>Ajustar temperatura. Revisar equipo de refrigeración. Alertar Mantenimiento.</t>
        </is>
      </c>
      <c r="M8" s="55" t="inlineStr">
        <is>
          <t>Evaluar producto: si T° &gt;8°C por &gt;2h → cuarentena. Análisis microbiológico si es necesario.</t>
        </is>
      </c>
      <c r="N8" s="55" t="inlineStr">
        <is>
          <t>RG-CCP-02 Registro Continuo Temperatura Cámaras</t>
        </is>
      </c>
    </row>
    <row r="9" ht="65" customHeight="1">
      <c r="B9" s="66" t="inlineStr">
        <is>
          <t>CCP-3</t>
        </is>
      </c>
      <c r="C9" s="67" t="inlineStr">
        <is>
          <t>Tratamiento Térmico (Cocción/Pasteurización)</t>
        </is>
      </c>
      <c r="D9" s="67" t="inlineStr">
        <is>
          <t>Supervivencia de Salmonella spp., E. coli O157:H7 por temperatura/tiempo insuficiente</t>
        </is>
      </c>
      <c r="E9" s="67" t="inlineStr">
        <is>
          <t>74°C × 15 seg logra reducción 7 log de Salmonella (validado: FDA Guidance Thermal 2019; ICMSF Vol.5 Ch.Calor; USDA FSIS 2017)</t>
        </is>
      </c>
      <c r="F9" s="68" t="inlineStr">
        <is>
          <t>Temperatura interna ≥ 74°C durante ≥ 15 segundos (producto avícola/cárnico) | Pasteurización: según validación específica</t>
        </is>
      </c>
      <c r="G9" s="69" t="inlineStr">
        <is>
          <t>FDA 21 CFR 417.2; USDA FSIS 9 CFR Part 417; Codex CAC/RCP 58-2005 (pollo); EU Reg.853/2004</t>
        </is>
      </c>
      <c r="H9" s="67" t="inlineStr">
        <is>
          <t>Temperatura interna del producto (punto más frío)</t>
        </is>
      </c>
      <c r="I9" s="67" t="inlineStr">
        <is>
          <t>Cada batch / Cada hora en proceso continuo</t>
        </is>
      </c>
      <c r="J9" s="67" t="inlineStr">
        <is>
          <t>Termómetro sonda calibrado (±0.5°C) / Datalogger en punto crítico del equipo / Validación del proceso</t>
        </is>
      </c>
      <c r="K9" s="67" t="inlineStr">
        <is>
          <t>Operador de Línea + Responsable Calidad (verificación)</t>
        </is>
      </c>
      <c r="L9" s="67" t="inlineStr">
        <is>
          <t>Detener producción. Retener lote. Recocción si viable o destrucción documentada.</t>
        </is>
      </c>
      <c r="M9" s="67" t="inlineStr">
        <is>
          <t>Lote en cuarentena identificado. Evaluar recocción. Si no viable → destrucción + registro de NC.</t>
        </is>
      </c>
      <c r="N9" s="67" t="inlineStr">
        <is>
          <t>RG-CCP-03 Control Temperatura Cocción</t>
        </is>
      </c>
    </row>
    <row r="10" ht="65" customHeight="1">
      <c r="B10" s="66" t="inlineStr">
        <is>
          <t>CCP-4</t>
        </is>
      </c>
      <c r="C10" s="55" t="inlineStr">
        <is>
          <t>Detección de Metales (Producto Terminado)</t>
        </is>
      </c>
      <c r="D10" s="55" t="inlineStr">
        <is>
          <t>Presencia de fragmentos metálicos ferrosos, no ferrosos e inoxidables en producto final</t>
        </is>
      </c>
      <c r="E10" s="55" t="inlineStr">
        <is>
          <t>Detector de metales elimina cuerpos extraños metálicos &gt;umbral definido. (BRCGS Technical Standard Metales; FDA CPG 555.425)</t>
        </is>
      </c>
      <c r="F10" s="70" t="inlineStr">
        <is>
          <t>Ferrosos (Fe): detección ≥ 2.5 mm | No ferrosos (Al, Cu): ≥ 3.0 mm | Inoxidable (SS): ≥ 3.5 mm</t>
        </is>
      </c>
      <c r="G10" s="71" t="inlineStr">
        <is>
          <t>FDA Defect Action Levels CPG Sec.555.425; BRCGS Issue 9 Cl.4.9.2; EU EFSA Statement Metales 2020</t>
        </is>
      </c>
      <c r="H10" s="55" t="inlineStr">
        <is>
          <t>Sensibilidad del detector (verificación con testpieces certificados: Fe/No Fe/SS)</t>
        </is>
      </c>
      <c r="I10" s="55" t="inlineStr">
        <is>
          <t>Verificación inicio turno + cada 30 min + fin turno con testpieces NIST-trazables</t>
        </is>
      </c>
      <c r="J10" s="55" t="inlineStr">
        <is>
          <t>Detector de metales inline calibrado / Testpieces certificados (Fe ⌀2.5/No Fe ⌀3.0/SS ⌀3.5 mm)</t>
        </is>
      </c>
      <c r="K10" s="55" t="inlineStr">
        <is>
          <t>Operador Detector + Supervisor de Línea</t>
        </is>
      </c>
      <c r="L10" s="55" t="inlineStr">
        <is>
          <t>Detener línea. Repasar producto últimos 30 min. Inspección física. Reparar o recalibrar detector.</t>
        </is>
      </c>
      <c r="M10" s="55" t="inlineStr">
        <is>
          <t>Segregar producto desde última verificación satisfactoria. Reinspección unitaria. Destrucción si no verificable.</t>
        </is>
      </c>
      <c r="N10" s="55" t="inlineStr">
        <is>
          <t>RG-CCP-04 Verificación Detector Metales + RG-CCP-04b Origen Cuerpos Extraños</t>
        </is>
      </c>
    </row>
  </sheetData>
  <mergeCells count="5">
    <mergeCell ref="B2:M2"/>
    <mergeCell ref="D5:F5"/>
    <mergeCell ref="B3:M3"/>
    <mergeCell ref="K5:M5"/>
    <mergeCell ref="G5:J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9488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12" customWidth="1" min="4" max="4"/>
    <col width="14" customWidth="1" min="5" max="5"/>
    <col width="18" customWidth="1" min="6" max="6"/>
    <col width="16" customWidth="1" min="7" max="7"/>
    <col width="4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72" t="inlineStr">
        <is>
          <t>PASO 12 — SISTEMA DE DOCUMENTACIÓN Y REGISTROS  |  Principio 7 HACCP</t>
        </is>
      </c>
      <c r="H2" s="1" t="n"/>
    </row>
    <row r="3" ht="14" customHeight="1">
      <c r="A3" s="1" t="n"/>
      <c r="B3" s="73" t="inlineStr">
        <is>
          <t>BRCGS Issue 9 Cl.3.11  |  SQF Ed.9 Sec.2.8  |  FSSC 22000 Cl.7.5  |  ISO 22000:2018 Cl.7.5</t>
        </is>
      </c>
      <c r="H3" s="1" t="n"/>
    </row>
    <row r="5" ht="22" customHeight="1">
      <c r="B5" s="26" t="inlineStr">
        <is>
          <t>Código</t>
        </is>
      </c>
      <c r="C5" s="26" t="inlineStr">
        <is>
          <t>Nombre del Registro</t>
        </is>
      </c>
      <c r="D5" s="26" t="inlineStr">
        <is>
          <t>CCP / OPRP Vinculado</t>
        </is>
      </c>
      <c r="E5" s="26" t="inlineStr">
        <is>
          <t>Frecuencia</t>
        </is>
      </c>
      <c r="F5" s="26" t="inlineStr">
        <is>
          <t>Retención Mínima</t>
        </is>
      </c>
      <c r="G5" s="26" t="inlineStr">
        <is>
          <t>Responsable Archivo</t>
        </is>
      </c>
      <c r="H5" s="26" t="inlineStr"/>
    </row>
    <row r="6" ht="22" customHeight="1">
      <c r="B6" s="74" t="inlineStr">
        <is>
          <t>RG-CCP-01</t>
        </is>
      </c>
      <c r="C6" s="32" t="inlineStr">
        <is>
          <t>Control de Temperatura en Recepción</t>
        </is>
      </c>
      <c r="D6" s="32" t="inlineStr">
        <is>
          <t>CCP-1</t>
        </is>
      </c>
      <c r="E6" s="32" t="inlineStr">
        <is>
          <t>Cada lote</t>
        </is>
      </c>
      <c r="F6" s="32" t="inlineStr">
        <is>
          <t>2 años</t>
        </is>
      </c>
      <c r="G6" s="32" t="inlineStr">
        <is>
          <t>Jefe Recepción / Calidad</t>
        </is>
      </c>
    </row>
    <row r="7" ht="22" customHeight="1">
      <c r="B7" s="75" t="inlineStr">
        <is>
          <t>RG-CCP-02</t>
        </is>
      </c>
      <c r="C7" s="11" t="inlineStr">
        <is>
          <t>Registro Continuo Temperatura Cámaras (data logger)</t>
        </is>
      </c>
      <c r="D7" s="11" t="inlineStr">
        <is>
          <t>CCP-2</t>
        </is>
      </c>
      <c r="E7" s="11" t="inlineStr">
        <is>
          <t>Continuo automático — revisión diaria</t>
        </is>
      </c>
      <c r="F7" s="11" t="inlineStr">
        <is>
          <t>2 años</t>
        </is>
      </c>
      <c r="G7" s="11" t="inlineStr">
        <is>
          <t>Resp. Almacenes</t>
        </is>
      </c>
    </row>
    <row r="8" ht="22" customHeight="1">
      <c r="B8" s="74" t="inlineStr">
        <is>
          <t>RG-CCP-03</t>
        </is>
      </c>
      <c r="C8" s="32" t="inlineStr">
        <is>
          <t>Control de Temperatura de Cocción / Pasteurización</t>
        </is>
      </c>
      <c r="D8" s="32" t="inlineStr">
        <is>
          <t>CCP-3</t>
        </is>
      </c>
      <c r="E8" s="32" t="inlineStr">
        <is>
          <t>Cada batch / cada hora</t>
        </is>
      </c>
      <c r="F8" s="32" t="inlineStr">
        <is>
          <t>2 años</t>
        </is>
      </c>
      <c r="G8" s="32" t="inlineStr">
        <is>
          <t>Operador Producción</t>
        </is>
      </c>
    </row>
    <row r="9" ht="22" customHeight="1">
      <c r="B9" s="75" t="inlineStr">
        <is>
          <t>RG-CCP-04</t>
        </is>
      </c>
      <c r="C9" s="11" t="inlineStr">
        <is>
          <t>Verificación Detector de Metales — Testpieces</t>
        </is>
      </c>
      <c r="D9" s="11" t="inlineStr">
        <is>
          <t>CCP-4</t>
        </is>
      </c>
      <c r="E9" s="11" t="inlineStr">
        <is>
          <t>Inicio turno + cada 30 min + fin turno</t>
        </is>
      </c>
      <c r="F9" s="11" t="inlineStr">
        <is>
          <t>2 años</t>
        </is>
      </c>
      <c r="G9" s="11" t="inlineStr">
        <is>
          <t>Operador Línea</t>
        </is>
      </c>
    </row>
    <row r="10" ht="22" customHeight="1">
      <c r="B10" s="74" t="inlineStr">
        <is>
          <t>RG-CCP-04b</t>
        </is>
      </c>
      <c r="C10" s="32" t="inlineStr">
        <is>
          <t>Formulario Origen de Cuerpos Extraños</t>
        </is>
      </c>
      <c r="D10" s="32" t="inlineStr">
        <is>
          <t>CCP-4</t>
        </is>
      </c>
      <c r="E10" s="32" t="inlineStr">
        <is>
          <t>Cada detección positiva</t>
        </is>
      </c>
      <c r="F10" s="32" t="inlineStr">
        <is>
          <t>2 años</t>
        </is>
      </c>
      <c r="G10" s="32" t="inlineStr">
        <is>
          <t>Supervisor Calidad</t>
        </is>
      </c>
    </row>
    <row r="11" ht="22" customHeight="1">
      <c r="B11" s="75" t="inlineStr">
        <is>
          <t>RG-OPRP-01</t>
        </is>
      </c>
      <c r="C11" s="11" t="inlineStr">
        <is>
          <t>Validación de Proveedores — COA y BPAs</t>
        </is>
      </c>
      <c r="D11" s="11" t="inlineStr">
        <is>
          <t>OPRP-01/02/03/04</t>
        </is>
      </c>
      <c r="E11" s="11" t="inlineStr">
        <is>
          <t>Por lote de proveedor</t>
        </is>
      </c>
      <c r="F11" s="11" t="inlineStr">
        <is>
          <t>3 años</t>
        </is>
      </c>
      <c r="G11" s="11" t="inlineStr">
        <is>
          <t>Jefe Compras / Calidad</t>
        </is>
      </c>
    </row>
    <row r="12" ht="22" customHeight="1">
      <c r="B12" s="74" t="inlineStr">
        <is>
          <t>RG-OPRP-05</t>
        </is>
      </c>
      <c r="C12" s="32" t="inlineStr">
        <is>
          <t>Registro Plan Alérgenos — Cambio de Línea</t>
        </is>
      </c>
      <c r="D12" s="32" t="inlineStr">
        <is>
          <t>OPRP-05/06</t>
        </is>
      </c>
      <c r="E12" s="32" t="inlineStr">
        <is>
          <t>Cada cambio de línea / producto</t>
        </is>
      </c>
      <c r="F12" s="32" t="inlineStr">
        <is>
          <t>2 años</t>
        </is>
      </c>
      <c r="G12" s="32" t="inlineStr">
        <is>
          <t>Responsable de Calidad</t>
        </is>
      </c>
    </row>
    <row r="13" ht="22" customHeight="1">
      <c r="B13" s="75" t="inlineStr">
        <is>
          <t>RG-NC-01</t>
        </is>
      </c>
      <c r="C13" s="11" t="inlineStr">
        <is>
          <t>Registro de No Conformidades y Acciones Correctivas</t>
        </is>
      </c>
      <c r="D13" s="11" t="inlineStr">
        <is>
          <t>Todos los CCPs y OPRPs</t>
        </is>
      </c>
      <c r="E13" s="11" t="inlineStr">
        <is>
          <t>Por evento</t>
        </is>
      </c>
      <c r="F13" s="11" t="inlineStr">
        <is>
          <t>3 años</t>
        </is>
      </c>
      <c r="G13" s="11" t="inlineStr">
        <is>
          <t>Responsable Calidad</t>
        </is>
      </c>
    </row>
    <row r="14" ht="22" customHeight="1">
      <c r="B14" s="74" t="inlineStr">
        <is>
          <t>RG-CAL-01</t>
        </is>
      </c>
      <c r="C14" s="32" t="inlineStr">
        <is>
          <t>Registro de Calibración de Equipos Críticos</t>
        </is>
      </c>
      <c r="D14" s="32" t="inlineStr">
        <is>
          <t>CCP-1/2/3/4</t>
        </is>
      </c>
      <c r="E14" s="32" t="inlineStr">
        <is>
          <t>Según programa de calibración</t>
        </is>
      </c>
      <c r="F14" s="32" t="inlineStr">
        <is>
          <t>3 años</t>
        </is>
      </c>
      <c r="G14" s="32" t="inlineStr">
        <is>
          <t>Responsable Mantenimiento</t>
        </is>
      </c>
    </row>
    <row r="15" ht="22" customHeight="1">
      <c r="B15" s="75" t="inlineStr">
        <is>
          <t>RG-VER-01</t>
        </is>
      </c>
      <c r="C15" s="76" t="inlineStr">
        <is>
          <t>Programa de Verificación del Plan HACCP</t>
        </is>
      </c>
      <c r="D15" s="11" t="inlineStr">
        <is>
          <t>Plan completo</t>
        </is>
      </c>
      <c r="E15" s="11" t="inlineStr">
        <is>
          <t>Anual o ante cambios</t>
        </is>
      </c>
      <c r="F15" s="11" t="inlineStr">
        <is>
          <t>3 años</t>
        </is>
      </c>
      <c r="G15" s="11" t="inlineStr">
        <is>
          <t>Líder Equipo HACCP</t>
        </is>
      </c>
    </row>
    <row r="16" ht="22" customHeight="1">
      <c r="B16" s="74" t="inlineStr">
        <is>
          <t>RG-CAP-01</t>
        </is>
      </c>
      <c r="C16" s="77" t="inlineStr">
        <is>
          <t>Registros de Capacitación del Equipo HACCP y operarios</t>
        </is>
      </c>
      <c r="D16" s="32" t="inlineStr">
        <is>
          <t>General</t>
        </is>
      </c>
      <c r="E16" s="32" t="inlineStr">
        <is>
          <t>Por sesión de capacitación</t>
        </is>
      </c>
      <c r="F16" s="32" t="inlineStr">
        <is>
          <t>3 años</t>
        </is>
      </c>
      <c r="G16" s="32" t="inlineStr">
        <is>
          <t>Responsable RRHH</t>
        </is>
      </c>
    </row>
    <row r="17" ht="22" customHeight="1">
      <c r="B17" s="75" t="inlineStr">
        <is>
          <t>RG-REC-01</t>
        </is>
      </c>
      <c r="C17" s="11" t="inlineStr">
        <is>
          <t>Registro Alertas de Recall Relevantes y acciones tomadas</t>
        </is>
      </c>
      <c r="D17" s="11" t="inlineStr">
        <is>
          <t>General</t>
        </is>
      </c>
      <c r="E17" s="11" t="inlineStr">
        <is>
          <t>Por alerta detectada</t>
        </is>
      </c>
      <c r="F17" s="11" t="inlineStr">
        <is>
          <t>3 años</t>
        </is>
      </c>
      <c r="G17" s="11" t="inlineStr">
        <is>
          <t>Responsable Calidad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4" customWidth="1" min="4" max="4"/>
  </cols>
  <sheetData>
    <row r="1">
      <c r="A1" s="1" t="n"/>
      <c r="B1" s="1" t="n"/>
      <c r="C1" s="1" t="n"/>
      <c r="D1" s="1" t="n"/>
    </row>
    <row r="2" ht="36" customHeight="1">
      <c r="A2" s="1" t="n"/>
      <c r="B2" s="24" t="inlineStr">
        <is>
          <t>RESUMEN EJECUTIVO — PLAN HACCP  |  Vista para Auditoría GFSI</t>
        </is>
      </c>
      <c r="D2" s="1" t="n"/>
    </row>
    <row r="3" ht="16" customHeight="1">
      <c r="A3" s="1" t="n"/>
      <c r="B3" s="78" t="inlineStr">
        <is>
          <t>Generado: 29/03/2026  |  safetrace.app  |  Requiere verificación profesional antes de uso en auditoría</t>
        </is>
      </c>
      <c r="D3" s="1" t="n"/>
    </row>
    <row r="4">
      <c r="A4" s="1" t="n"/>
      <c r="B4" s="1" t="n"/>
      <c r="C4" s="1" t="n"/>
      <c r="D4" s="1" t="n"/>
    </row>
    <row r="5" ht="8" customHeight="1"/>
    <row r="6" ht="22" customHeight="1">
      <c r="B6" s="79" t="inlineStr">
        <is>
          <t>INDICADOR CLAVE</t>
        </is>
      </c>
      <c r="C6" s="79" t="inlineStr">
        <is>
          <t>VALOR / ESTADO</t>
        </is>
      </c>
    </row>
    <row r="7" ht="22" customHeight="1">
      <c r="B7" s="80" t="inlineStr">
        <is>
          <t>Total peligros identificados</t>
        </is>
      </c>
      <c r="C7" s="81">
        <f>COUNTA('07 · Análisis de Peligros'!B7:B50)</f>
        <v/>
      </c>
    </row>
    <row r="8" ht="22" customHeight="1">
      <c r="B8" s="82" t="inlineStr">
        <is>
          <t>CCPs determinados</t>
        </is>
      </c>
      <c r="C8" s="83" t="n">
        <v>4</v>
      </c>
    </row>
    <row r="9" ht="22" customHeight="1">
      <c r="B9" s="80" t="inlineStr">
        <is>
          <t>OPRPs determinados</t>
        </is>
      </c>
      <c r="C9" s="81" t="n">
        <v>6</v>
      </c>
    </row>
    <row r="10" ht="22" customHeight="1">
      <c r="B10" s="82" t="inlineStr">
        <is>
          <t>Registros generados</t>
        </is>
      </c>
      <c r="C10" s="83" t="n">
        <v>12</v>
      </c>
    </row>
    <row r="11" ht="22" customHeight="1">
      <c r="B11" s="80" t="inlineStr">
        <is>
          <t>Norma de referencia principal</t>
        </is>
      </c>
      <c r="C11" s="81" t="inlineStr">
        <is>
          <t>BRCGS Issue 9 / FSSC 22000 v6</t>
        </is>
      </c>
    </row>
    <row r="12" ht="22" customHeight="1">
      <c r="B12" s="82" t="inlineStr">
        <is>
          <t>Árbol de decisión aplicado</t>
        </is>
      </c>
      <c r="C12" s="83" t="inlineStr">
        <is>
          <t>Codex CAC/RCP 1-1969 Rev.2020</t>
        </is>
      </c>
    </row>
    <row r="13" ht="22" customHeight="1">
      <c r="B13" s="80" t="inlineStr">
        <is>
          <t>Estado del plan</t>
        </is>
      </c>
      <c r="C13" s="81" t="inlineStr">
        <is>
          <t>BORRADOR — pendiente verificación in situ (Paso 5)</t>
        </is>
      </c>
    </row>
    <row r="14" ht="22" customHeight="1">
      <c r="B14" s="82" t="inlineStr">
        <is>
          <t>Vigencia hasta revisión</t>
        </is>
      </c>
      <c r="C14" s="83" t="inlineStr">
        <is>
          <t>12 meses ó ante cambios significativos en proceso/producto</t>
        </is>
      </c>
    </row>
    <row r="17" ht="22" customHeight="1">
      <c r="B17" s="84" t="inlineStr">
        <is>
          <t>PRÓXIMOS PASOS RECOMENDADOS ANTES DE AUDITORÍA</t>
        </is>
      </c>
      <c r="C17" s="13" t="n"/>
    </row>
    <row r="18" ht="20" customHeight="1">
      <c r="B18" s="85" t="inlineStr">
        <is>
          <t>1. Verificar el diagrama de flujo in situ con el equipo HACCP (Paso 5 — obligatorio antes de implementar)</t>
        </is>
      </c>
      <c r="C18" s="13" t="n"/>
    </row>
    <row r="19" ht="20" customHeight="1">
      <c r="B19" s="86" t="inlineStr">
        <is>
          <t>2. Completar los nombres reales del equipo HACCP y obtener firmas de aprobación (Paso 1)</t>
        </is>
      </c>
      <c r="C19" s="13" t="n"/>
    </row>
    <row r="20" ht="20" customHeight="1">
      <c r="B20" s="85" t="inlineStr">
        <is>
          <t>3. Validar los límites críticos de todos los CCPs con evidencia científica específica al proceso/producto</t>
        </is>
      </c>
      <c r="C20" s="13" t="n"/>
    </row>
    <row r="21" ht="20" customHeight="1">
      <c r="B21" s="86" t="inlineStr">
        <is>
          <t>4. Calibrar todos los equipos de monitoreo y obtener certificados de calibración trazables a NIST</t>
        </is>
      </c>
      <c r="C21" s="13" t="n"/>
    </row>
    <row r="22" ht="20" customHeight="1">
      <c r="B22" s="85" t="inlineStr">
        <is>
          <t>5. Capacitar a todo el personal involucrado y registrar las capacitaciones (BRCGS Cl.7.1)</t>
        </is>
      </c>
      <c r="C22" s="13" t="n"/>
    </row>
    <row r="23" ht="20" customHeight="1">
      <c r="B23" s="86" t="inlineStr">
        <is>
          <t>6. Implementar el sistema de registros y verificar que todos los formularios estén en uso</t>
        </is>
      </c>
      <c r="C23" s="13" t="n"/>
    </row>
    <row r="24" ht="20" customHeight="1">
      <c r="B24" s="85" t="inlineStr">
        <is>
          <t>7. Realizar una auditoría interna del plan HACCP antes de la auditoría de certificación</t>
        </is>
      </c>
      <c r="C24" s="13" t="n"/>
    </row>
    <row r="25" ht="20" customHeight="1">
      <c r="B25" s="86" t="inlineStr">
        <is>
          <t>8. Revisar y actualizar el plan ante cualquier cambio en materias primas, proceso o mercado destino</t>
        </is>
      </c>
      <c r="C25" s="13" t="n"/>
    </row>
  </sheetData>
  <mergeCells count="11">
    <mergeCell ref="B21:C21"/>
    <mergeCell ref="B2:C2"/>
    <mergeCell ref="B24:C24"/>
    <mergeCell ref="B25:C25"/>
    <mergeCell ref="B3:C3"/>
    <mergeCell ref="B19:C19"/>
    <mergeCell ref="B20:C20"/>
    <mergeCell ref="B23:C23"/>
    <mergeCell ref="B22:C22"/>
    <mergeCell ref="B17:C17"/>
    <mergeCell ref="B18:C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40" customWidth="1" min="4" max="4"/>
    <col width="35" customWidth="1" min="5" max="5"/>
    <col width="22" customWidth="1" min="6" max="6"/>
    <col width="18" customWidth="1" min="7" max="7"/>
    <col width="4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72" t="inlineStr">
        <is>
          <t>BIBLIOGRAFÍA CIENTÍFICA — BASE DE INVESTIGACIÓN DEL PLAN</t>
        </is>
      </c>
      <c r="H2" s="1" t="n"/>
    </row>
    <row r="3" ht="14" customHeight="1">
      <c r="A3" s="1" t="n"/>
      <c r="B3" s="73" t="inlineStr">
        <is>
          <t>Requerido por BRCGS Issue 9 Clause 2.2  |  Formato APA/Vancouver adaptado para inocuidad alimentaria</t>
        </is>
      </c>
      <c r="H3" s="1" t="n"/>
    </row>
    <row r="5" ht="22" customHeight="1">
      <c r="B5" s="26" t="inlineStr">
        <is>
          <t>#</t>
        </is>
      </c>
      <c r="C5" s="26" t="inlineStr">
        <is>
          <t>Tipo</t>
        </is>
      </c>
      <c r="D5" s="26" t="inlineStr">
        <is>
          <t>Referencia Completa (Autor, Año, Título, Fuente)</t>
        </is>
      </c>
      <c r="E5" s="26" t="inlineStr">
        <is>
          <t>Aplicación en el Plan</t>
        </is>
      </c>
      <c r="F5" s="26" t="inlineStr">
        <is>
          <t>DOI / URL</t>
        </is>
      </c>
      <c r="G5" s="26" t="inlineStr"/>
      <c r="H5" s="13" t="n"/>
    </row>
    <row r="6" ht="35" customHeight="1">
      <c r="B6" s="87" t="n">
        <v>1</v>
      </c>
      <c r="C6" s="88" t="inlineStr">
        <is>
          <t>📗 LIBRO</t>
        </is>
      </c>
      <c r="D6" s="58" t="inlineStr">
        <is>
          <t>ICMSF (2005). Microorganisms in Foods 6: Microbial Ecology of Food Commodities. 2nd ed. Kluwer Academic/Plenum Publishers, New York.</t>
        </is>
      </c>
      <c r="E6" s="89" t="inlineStr">
        <is>
          <t>Peligros biológicos — patógenos en materias primas (Salmonella, Listeria, Aflatoxinas)</t>
        </is>
      </c>
      <c r="F6" s="90" t="inlineStr">
        <is>
          <t>https://link.springer.com/book/9780387281469</t>
        </is>
      </c>
    </row>
    <row r="7" ht="35" customHeight="1">
      <c r="B7" s="87" t="n">
        <v>2</v>
      </c>
      <c r="C7" s="88" t="inlineStr">
        <is>
          <t>📗 LIBRO</t>
        </is>
      </c>
      <c r="D7" s="58" t="inlineStr">
        <is>
          <t>FDA (2012). Bad Bug Book: Foodborne Pathogenic Microorganisms and Natural Toxins Handbook. 2nd ed. FDA/CFSAN, Silver Spring MD.</t>
        </is>
      </c>
      <c r="E7" s="89" t="inlineStr">
        <is>
          <t>Caracterización de peligros biológicos; severidad y probabilidad de patógenos</t>
        </is>
      </c>
      <c r="F7" s="90" t="inlineStr">
        <is>
          <t>https://www.fda.gov/food/foodborne-pathogens/bad-bug-book-second-edition</t>
        </is>
      </c>
    </row>
    <row r="8" ht="35" customHeight="1">
      <c r="B8" s="91" t="n">
        <v>3</v>
      </c>
      <c r="C8" s="92" t="inlineStr">
        <is>
          <t>📄 ARTÍCULO</t>
        </is>
      </c>
      <c r="D8" s="93" t="inlineStr">
        <is>
          <t>EFSA BIOHAZ Panel (2021). Scientific Opinion on the public health risks of Salmonella in food. EFSA Journal 19(2): e06599.</t>
        </is>
      </c>
      <c r="E8" s="94" t="inlineStr">
        <is>
          <t>Justificación severidad Salmonella; límites microbiológicos; medidas de control</t>
        </is>
      </c>
      <c r="F8" s="95" t="inlineStr">
        <is>
          <t>https://doi.org/10.2903/j.efsa.2021.6599</t>
        </is>
      </c>
    </row>
    <row r="9" ht="35" customHeight="1">
      <c r="B9" s="91" t="n">
        <v>4</v>
      </c>
      <c r="C9" s="92" t="inlineStr">
        <is>
          <t>📄 ARTÍCULO</t>
        </is>
      </c>
      <c r="D9" s="93" t="inlineStr">
        <is>
          <t>EFSA CONTAM Panel (2023). Scientific Opinion on the risks for animal and human health related to aflatoxins in feed and food. EFSA Journal 21(3): e07704.</t>
        </is>
      </c>
      <c r="E9" s="94" t="inlineStr">
        <is>
          <t>Límites micotoxinas; justificación peligros Q para granos y cereales</t>
        </is>
      </c>
      <c r="F9" s="95" t="inlineStr">
        <is>
          <t>https://doi.org/10.2903/j.efsa.2023.7704</t>
        </is>
      </c>
    </row>
    <row r="10" ht="35" customHeight="1">
      <c r="B10" s="96" t="n">
        <v>5</v>
      </c>
      <c r="C10" s="97" t="inlineStr">
        <is>
          <t>⚖️ NORMA</t>
        </is>
      </c>
      <c r="D10" s="52" t="inlineStr">
        <is>
          <t>Codex Alimentarius Commission (2020). General Principles of Food Hygiene — Code of Practice, CAC/RCP 1-1969, Rev.2020. FAO/WHO, Rome.</t>
        </is>
      </c>
      <c r="E10" s="98" t="inlineStr">
        <is>
          <t>Estructura base de los 12 pasos HACCP; árbol de decisiones CCPs; principios 1–7</t>
        </is>
      </c>
      <c r="F10" s="99" t="inlineStr">
        <is>
          <t>http://www.fao.org/fao-who-codexalimentarius/</t>
        </is>
      </c>
    </row>
    <row r="11" ht="35" customHeight="1">
      <c r="B11" s="96" t="n">
        <v>6</v>
      </c>
      <c r="C11" s="97" t="inlineStr">
        <is>
          <t>⚖️ NORMA</t>
        </is>
      </c>
      <c r="D11" s="52" t="inlineStr">
        <is>
          <t>Codex Alimentarius (2019). General Standard for Contaminants and Toxins in Food and Feed, STAN 193-1995, Rev.2019.</t>
        </is>
      </c>
      <c r="E11" s="98" t="inlineStr">
        <is>
          <t>Límites máximos contaminantes: micotoxinas, metales pesados, dioxinas, PCBs</t>
        </is>
      </c>
      <c r="F11" s="99" t="inlineStr">
        <is>
          <t>http://www.codexalimentarius.org/</t>
        </is>
      </c>
    </row>
    <row r="12" ht="35" customHeight="1">
      <c r="B12" s="96" t="n">
        <v>7</v>
      </c>
      <c r="C12" s="97" t="inlineStr">
        <is>
          <t>⚖️ NORMA</t>
        </is>
      </c>
      <c r="D12" s="52" t="inlineStr">
        <is>
          <t>European Parliament (2006). Regulation (EC) No 1881/2006 setting maximum levels for certain contaminants in foodstuffs, as amended.</t>
        </is>
      </c>
      <c r="E12" s="98" t="inlineStr">
        <is>
          <t>LMR aflatoxinas, OTA, DON, fumonisinas, plomo, cadmio, mercurio, dioxinas en alimentos UE</t>
        </is>
      </c>
      <c r="F12" s="99" t="inlineStr">
        <is>
          <t>https://eur-lex.europa.eu/legal-content/EN/TXT/?uri=CELEX:32006R1881</t>
        </is>
      </c>
    </row>
    <row r="13" ht="35" customHeight="1">
      <c r="B13" s="96" t="n">
        <v>8</v>
      </c>
      <c r="C13" s="97" t="inlineStr">
        <is>
          <t>⚖️ NORMA</t>
        </is>
      </c>
      <c r="D13" s="52" t="inlineStr">
        <is>
          <t>U.S. FDA (2023). Food Allergy Safety, Treatment, Education, and Research (FASTER) Act of 2021 — Implementation Final Rule.</t>
        </is>
      </c>
      <c r="E13" s="98" t="inlineStr">
        <is>
          <t>Big 9 alérgenos (incluye sésamo desde 2023); requisitos etiquetado FDA</t>
        </is>
      </c>
      <c r="F13" s="99" t="inlineStr">
        <is>
          <t>https://www.fda.gov/food/food-labeling-nutrition/food-allergen-labeling-and-consumer-protection-act-2004-falcpa</t>
        </is>
      </c>
    </row>
    <row r="14" ht="35" customHeight="1">
      <c r="B14" s="96" t="n">
        <v>9</v>
      </c>
      <c r="C14" s="97" t="inlineStr">
        <is>
          <t>⚖️ NORMA</t>
        </is>
      </c>
      <c r="D14" s="52" t="inlineStr">
        <is>
          <t>European Parliament and Council (2011). Regulation (EU) No 1169/2011 on the provision of food information to consumers, Annex II (Big 14).</t>
        </is>
      </c>
      <c r="E14" s="98" t="inlineStr">
        <is>
          <t>Alérgenos mercado UE; declaración obligatoria en etiqueta; gestión contaminación cruzada</t>
        </is>
      </c>
      <c r="F14" s="99" t="inlineStr">
        <is>
          <t>https://eur-lex.europa.eu/legal-content/EN/TXT/?uri=CELEX:32011R1169</t>
        </is>
      </c>
    </row>
    <row r="15" ht="35" customHeight="1">
      <c r="B15" s="100" t="n">
        <v>10</v>
      </c>
      <c r="C15" s="101" t="inlineStr">
        <is>
          <t>📋 GUÍA</t>
        </is>
      </c>
      <c r="D15" s="102" t="inlineStr">
        <is>
          <t>FSANZ (2021). Food Standards Australia New Zealand — Food Standards Code, Standard 1.2.3 (Mandatory Warning and Advisory Statements).</t>
        </is>
      </c>
      <c r="E15" s="103" t="inlineStr">
        <is>
          <t>Alérgenos mercado Australia/NZ; 14 alérgenos declarados; VITAL threshold</t>
        </is>
      </c>
      <c r="F15" s="104" t="inlineStr">
        <is>
          <t>https://www.foodstandards.gov.au/code/Pages/default.aspx</t>
        </is>
      </c>
    </row>
    <row r="16" ht="35" customHeight="1">
      <c r="B16" s="96" t="n">
        <v>11</v>
      </c>
      <c r="C16" s="97" t="inlineStr">
        <is>
          <t>⚖️ NORMA</t>
        </is>
      </c>
      <c r="D16" s="52" t="inlineStr">
        <is>
          <t>U.S. FDA / CFSAN (2022). Compliance Policy Guidance Manual, Sec. 555.425 — Defect Action Levels and Allowances for Extraneous Material.</t>
        </is>
      </c>
      <c r="E16" s="98" t="inlineStr">
        <is>
          <t>Niveles de acción para contaminantes físicos; justificación límites CCP-4 (metales)</t>
        </is>
      </c>
      <c r="F16" s="99" t="inlineStr">
        <is>
          <t>https://www.fda.gov/iceci/compliancemanuals/compliancepolicyguidancemanual/</t>
        </is>
      </c>
    </row>
    <row r="17" ht="35" customHeight="1">
      <c r="B17" s="87" t="n">
        <v>12</v>
      </c>
      <c r="C17" s="88" t="inlineStr">
        <is>
          <t>📗 LIBRO</t>
        </is>
      </c>
      <c r="D17" s="58" t="inlineStr">
        <is>
          <t>Baird-Parker, A.C. &amp; Gould, G.W. (Eds.) (2000). The Microbiological Safety and Quality of Food. 2 vols. Springer, Gaithersburg MD.</t>
        </is>
      </c>
      <c r="E17" s="89" t="inlineStr">
        <is>
          <t>Base científica sobre inactivación de patógenos por calor (CCP-3); modelos predictivos</t>
        </is>
      </c>
      <c r="F17" s="90" t="inlineStr">
        <is>
          <t>https://www.springer.com/</t>
        </is>
      </c>
    </row>
    <row r="18" ht="35" customHeight="1">
      <c r="B18" s="91" t="n">
        <v>13</v>
      </c>
      <c r="C18" s="92" t="inlineStr">
        <is>
          <t>📄 ARTÍCULO</t>
        </is>
      </c>
      <c r="D18" s="93" t="inlineStr">
        <is>
          <t>Jeong, S.G. et al. (2018). Thermal inactivation kinetics of Salmonella spp. in ready-to-eat poultry products. Food Control 84: 25-34.</t>
        </is>
      </c>
      <c r="E18" s="94" t="inlineStr">
        <is>
          <t>Validación científica del límite crítico CCP-3: 74°C × 15 seg reducción 7 log</t>
        </is>
      </c>
      <c r="F18" s="95" t="inlineStr">
        <is>
          <t>https://doi.org/10.1016/j.foodcont.2017.07.009</t>
        </is>
      </c>
    </row>
    <row r="19" ht="35" customHeight="1">
      <c r="B19" s="91" t="n">
        <v>14</v>
      </c>
      <c r="C19" s="92" t="inlineStr">
        <is>
          <t>📄 ARTÍCULO</t>
        </is>
      </c>
      <c r="D19" s="93" t="inlineStr">
        <is>
          <t>Njage, P.M.K. et al. (2018). Application of quantitative microbial risk assessment to evaluate the impact of control measures. Risk Analysis 38: 2161.</t>
        </is>
      </c>
      <c r="E19" s="94" t="inlineStr">
        <is>
          <t>Evaluación cuantitativa de riesgos microbiológicos — base probabilidad/severidad HACCP</t>
        </is>
      </c>
      <c r="F19" s="95" t="inlineStr">
        <is>
          <t>https://doi.org/10.1111/risa.12996</t>
        </is>
      </c>
    </row>
    <row r="20" ht="35" customHeight="1">
      <c r="B20" s="96" t="n">
        <v>15</v>
      </c>
      <c r="C20" s="97" t="inlineStr">
        <is>
          <t>⚖️ NORMA</t>
        </is>
      </c>
      <c r="D20" s="52" t="inlineStr">
        <is>
          <t>BRCGS (2022). Global Standard for Food Safety Issue 9. British Retail Consortium Global Standards, London.</t>
        </is>
      </c>
      <c r="E20" s="98" t="inlineStr">
        <is>
          <t>Norma de certificación; requisitos HACCP Cl.2; PRPs Cl.4; monitoreo Cl.2.7–2.9</t>
        </is>
      </c>
      <c r="F20" s="99" t="inlineStr">
        <is>
          <t>https://www.brcgs.com/</t>
        </is>
      </c>
    </row>
    <row r="21" ht="35" customHeight="1">
      <c r="B21" s="96" t="n">
        <v>16</v>
      </c>
      <c r="C21" s="97" t="inlineStr">
        <is>
          <t>⚖️ NORMA</t>
        </is>
      </c>
      <c r="D21" s="52" t="inlineStr">
        <is>
          <t>ISO (2018). ISO 22000:2018 — Food Safety Management Systems: Requirements for any organization in the food chain.</t>
        </is>
      </c>
      <c r="E21" s="98" t="inlineStr">
        <is>
          <t>Sistema de gestión de inocuidad; CCPs y OPRPs; comunicación interactiva; mejora continua</t>
        </is>
      </c>
      <c r="F21" s="99" t="inlineStr">
        <is>
          <t>https://www.iso.org/standard/65464.html</t>
        </is>
      </c>
    </row>
    <row r="22" ht="35" customHeight="1">
      <c r="B22" s="96" t="n">
        <v>17</v>
      </c>
      <c r="C22" s="97" t="inlineStr">
        <is>
          <t>⚖️ NORMA</t>
        </is>
      </c>
      <c r="D22" s="52" t="inlineStr">
        <is>
          <t>U.S. EPA (2023). Title 40 CFR Part 180 — Tolerances and Exemptions for Pesticide Chemical Residues in Food.</t>
        </is>
      </c>
      <c r="E22" s="98" t="inlineStr">
        <is>
          <t>LMR pesticidas en alimentos USA; base para evaluación peligros Q plaguicidas</t>
        </is>
      </c>
      <c r="F22" s="99" t="inlineStr">
        <is>
          <t>https://www.ecfr.gov/current/title-40/chapter-I/subchapter-E/part-180</t>
        </is>
      </c>
    </row>
    <row r="23" ht="35" customHeight="1">
      <c r="B23" s="96" t="n">
        <v>18</v>
      </c>
      <c r="C23" s="97" t="inlineStr">
        <is>
          <t>⚖️ NORMA</t>
        </is>
      </c>
      <c r="D23" s="52" t="inlineStr">
        <is>
          <t>CFIA (2019). Safe Food for Canadians Regulations (SFCR) — Schedule 6, Priority Allergens.</t>
        </is>
      </c>
      <c r="E23" s="98" t="inlineStr">
        <is>
          <t>Alérgenos mercado Canadá; etiquetado obligatorio; 14 alérgenos prioritarios</t>
        </is>
      </c>
      <c r="F23" s="99" t="inlineStr">
        <is>
          <t>https://inspection.canada.ca/food-labels/labelling/industry/eng/1383607266489/1383607344939</t>
        </is>
      </c>
    </row>
    <row r="24" ht="35" customHeight="1">
      <c r="B24" s="91" t="n">
        <v>19</v>
      </c>
      <c r="C24" s="92" t="inlineStr">
        <is>
          <t>📄 ARTÍCULO</t>
        </is>
      </c>
      <c r="D24" s="93" t="inlineStr">
        <is>
          <t>Konings, E.J.M. et al. (2007). Acrylamide exposure from foods in the Netherlands. Food and Chemical Toxicology 45: 1675-1687.</t>
        </is>
      </c>
      <c r="E24" s="94" t="inlineStr">
        <is>
          <t>Contaminantes de proceso (acrilamida) — referencia para análisis de peligros Q en horneados</t>
        </is>
      </c>
      <c r="F24" s="95" t="inlineStr">
        <is>
          <t>https://doi.org/10.1016/j.fct.2007.02.030</t>
        </is>
      </c>
    </row>
    <row r="25" ht="35" customHeight="1">
      <c r="B25" s="96" t="n">
        <v>20</v>
      </c>
      <c r="C25" s="97" t="inlineStr">
        <is>
          <t>⚖️ NORMA</t>
        </is>
      </c>
      <c r="D25" s="52" t="inlineStr">
        <is>
          <t>ANVISA (2015). Resolução RDC No. 26, de 2 de julho de 2015 — Requisitos para rotulagem obrigatória dos principais alimentos que causam alergias alimentares.</t>
        </is>
      </c>
      <c r="E25" s="98" t="inlineStr">
        <is>
          <t>Alérgenos mercado Brasil (ANVISA RDC 26/2015) — rotulagem obrigatória</t>
        </is>
      </c>
      <c r="F25" s="99" t="inlineStr">
        <is>
          <t>https://www.gov.br/anvisa/pt-br/assuntos/regulamentacao/legislacao/bibliotecas-tematicas</t>
        </is>
      </c>
    </row>
  </sheetData>
  <mergeCells count="23">
    <mergeCell ref="B2:G2"/>
    <mergeCell ref="G21:H21"/>
    <mergeCell ref="G12:H12"/>
    <mergeCell ref="G11:H11"/>
    <mergeCell ref="G23:H23"/>
    <mergeCell ref="G8:H8"/>
    <mergeCell ref="G17:H17"/>
    <mergeCell ref="G7:H7"/>
    <mergeCell ref="G10:H10"/>
    <mergeCell ref="G19:H19"/>
    <mergeCell ref="G6:H6"/>
    <mergeCell ref="G13:H13"/>
    <mergeCell ref="G18:H18"/>
    <mergeCell ref="G24:H24"/>
    <mergeCell ref="G15:H15"/>
    <mergeCell ref="G5:H5"/>
    <mergeCell ref="G14:H14"/>
    <mergeCell ref="B3:G3"/>
    <mergeCell ref="G20:H20"/>
    <mergeCell ref="G16:H16"/>
    <mergeCell ref="G25:H25"/>
    <mergeCell ref="G22:H2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2026-03-29T22:53:14Z</dcterms:created>
  <dcterms:modified xmlns:dcterms="http://purl.org/dc/terms/" xmlns:xsi="http://www.w3.org/2001/XMLSchema-instance" xsi:type="dcterms:W3CDTF">2026-03-29T22:53:14Z</dcterms:modified>
</cp:coreProperties>
</file>